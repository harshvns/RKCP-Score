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532A6DF-7F35-4BE5-BA63-23E441351BF4}" xr6:coauthVersionLast="47" xr6:coauthVersionMax="47" xr10:uidLastSave="{00000000-0000-0000-0000-000000000000}"/>
  <bookViews>
    <workbookView xWindow="-108" yWindow="-108" windowWidth="23256" windowHeight="12456" xr2:uid="{D36DA84F-EBDE-4393-B363-5E2EF86CF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AT186" i="1"/>
  <c r="AQ186" i="1"/>
  <c r="AN186" i="1"/>
  <c r="AJ186" i="1"/>
  <c r="AG186" i="1"/>
  <c r="AD186" i="1"/>
  <c r="AC186" i="1"/>
  <c r="AB186" i="1"/>
  <c r="W186" i="1"/>
  <c r="N186" i="1"/>
  <c r="I186" i="1"/>
  <c r="F186" i="1"/>
  <c r="AT185" i="1"/>
  <c r="AQ185" i="1"/>
  <c r="AN185" i="1"/>
  <c r="AJ185" i="1"/>
  <c r="AG185" i="1"/>
  <c r="AD185" i="1"/>
  <c r="AC185" i="1"/>
  <c r="AB185" i="1"/>
  <c r="W185" i="1"/>
  <c r="N185" i="1"/>
  <c r="I185" i="1"/>
  <c r="F185" i="1"/>
  <c r="AT184" i="1"/>
  <c r="AQ184" i="1"/>
  <c r="AN184" i="1"/>
  <c r="AK184" i="1"/>
  <c r="AJ184" i="1"/>
  <c r="AG184" i="1"/>
  <c r="AD184" i="1"/>
  <c r="AC184" i="1"/>
  <c r="AB184" i="1"/>
  <c r="W184" i="1"/>
  <c r="N184" i="1"/>
  <c r="I184" i="1"/>
  <c r="F184" i="1"/>
  <c r="AT183" i="1"/>
  <c r="AQ183" i="1"/>
  <c r="AN183" i="1"/>
  <c r="AJ183" i="1"/>
  <c r="AG183" i="1"/>
  <c r="AK183" i="1" s="1"/>
  <c r="AD183" i="1"/>
  <c r="AC183" i="1"/>
  <c r="AB183" i="1"/>
  <c r="W183" i="1"/>
  <c r="N183" i="1"/>
  <c r="I183" i="1"/>
  <c r="F183" i="1"/>
  <c r="AT182" i="1"/>
  <c r="AQ182" i="1"/>
  <c r="AN182" i="1"/>
  <c r="AJ182" i="1"/>
  <c r="AG182" i="1"/>
  <c r="AD182" i="1"/>
  <c r="AC182" i="1"/>
  <c r="AB182" i="1"/>
  <c r="W182" i="1"/>
  <c r="N182" i="1"/>
  <c r="I182" i="1"/>
  <c r="F182" i="1"/>
  <c r="AT181" i="1"/>
  <c r="AQ181" i="1"/>
  <c r="AN181" i="1"/>
  <c r="AJ181" i="1"/>
  <c r="AG181" i="1"/>
  <c r="AD181" i="1"/>
  <c r="AC181" i="1"/>
  <c r="AB181" i="1"/>
  <c r="W181" i="1"/>
  <c r="N181" i="1"/>
  <c r="I181" i="1"/>
  <c r="F181" i="1"/>
  <c r="AT180" i="1"/>
  <c r="AQ180" i="1"/>
  <c r="AN180" i="1"/>
  <c r="AJ180" i="1"/>
  <c r="AG180" i="1"/>
  <c r="AD180" i="1"/>
  <c r="AC180" i="1"/>
  <c r="AB180" i="1"/>
  <c r="W180" i="1"/>
  <c r="N180" i="1"/>
  <c r="I180" i="1"/>
  <c r="F180" i="1"/>
  <c r="AT179" i="1"/>
  <c r="AQ179" i="1"/>
  <c r="AN179" i="1"/>
  <c r="AJ179" i="1"/>
  <c r="AG179" i="1"/>
  <c r="AD179" i="1"/>
  <c r="AC179" i="1"/>
  <c r="AB179" i="1"/>
  <c r="W179" i="1"/>
  <c r="N179" i="1"/>
  <c r="I179" i="1"/>
  <c r="F179" i="1"/>
  <c r="AT178" i="1"/>
  <c r="AQ178" i="1"/>
  <c r="AN178" i="1"/>
  <c r="AJ178" i="1"/>
  <c r="AG178" i="1"/>
  <c r="AK178" i="1" s="1"/>
  <c r="AD178" i="1"/>
  <c r="AC178" i="1"/>
  <c r="AB178" i="1"/>
  <c r="W178" i="1"/>
  <c r="N178" i="1"/>
  <c r="I178" i="1"/>
  <c r="F178" i="1"/>
  <c r="AT177" i="1"/>
  <c r="AQ177" i="1"/>
  <c r="AN177" i="1"/>
  <c r="AJ177" i="1"/>
  <c r="AG177" i="1"/>
  <c r="AK177" i="1" s="1"/>
  <c r="AD177" i="1"/>
  <c r="AC177" i="1"/>
  <c r="AB177" i="1"/>
  <c r="W177" i="1"/>
  <c r="N177" i="1"/>
  <c r="I177" i="1"/>
  <c r="F177" i="1"/>
  <c r="AT176" i="1"/>
  <c r="AQ176" i="1"/>
  <c r="AN176" i="1"/>
  <c r="AJ176" i="1"/>
  <c r="AG176" i="1"/>
  <c r="AD176" i="1"/>
  <c r="AC176" i="1"/>
  <c r="AB176" i="1"/>
  <c r="W176" i="1"/>
  <c r="N176" i="1"/>
  <c r="I176" i="1"/>
  <c r="F176" i="1"/>
  <c r="AT175" i="1"/>
  <c r="AQ175" i="1"/>
  <c r="AN175" i="1"/>
  <c r="AJ175" i="1"/>
  <c r="AG175" i="1"/>
  <c r="AD175" i="1"/>
  <c r="AC175" i="1"/>
  <c r="AB175" i="1"/>
  <c r="W175" i="1"/>
  <c r="N175" i="1"/>
  <c r="I175" i="1"/>
  <c r="F175" i="1"/>
  <c r="AT174" i="1"/>
  <c r="AQ174" i="1"/>
  <c r="AN174" i="1"/>
  <c r="AJ174" i="1"/>
  <c r="AG174" i="1"/>
  <c r="AD174" i="1"/>
  <c r="AC174" i="1"/>
  <c r="AB174" i="1"/>
  <c r="W174" i="1"/>
  <c r="N174" i="1"/>
  <c r="I174" i="1"/>
  <c r="F174" i="1"/>
  <c r="AT173" i="1"/>
  <c r="AQ173" i="1"/>
  <c r="AN173" i="1"/>
  <c r="AJ173" i="1"/>
  <c r="AG173" i="1"/>
  <c r="AD173" i="1"/>
  <c r="AC173" i="1"/>
  <c r="AB173" i="1"/>
  <c r="W173" i="1"/>
  <c r="N173" i="1"/>
  <c r="I173" i="1"/>
  <c r="F173" i="1"/>
  <c r="AT172" i="1"/>
  <c r="AQ172" i="1"/>
  <c r="AN172" i="1"/>
  <c r="AJ172" i="1"/>
  <c r="AG172" i="1"/>
  <c r="AK172" i="1" s="1"/>
  <c r="AD172" i="1"/>
  <c r="AC172" i="1"/>
  <c r="AB172" i="1"/>
  <c r="W172" i="1"/>
  <c r="N172" i="1"/>
  <c r="I172" i="1"/>
  <c r="F172" i="1"/>
  <c r="AT171" i="1"/>
  <c r="AQ171" i="1"/>
  <c r="AN171" i="1"/>
  <c r="AJ171" i="1"/>
  <c r="AG171" i="1"/>
  <c r="AK171" i="1" s="1"/>
  <c r="AD171" i="1"/>
  <c r="AC171" i="1"/>
  <c r="AB171" i="1"/>
  <c r="W171" i="1"/>
  <c r="N171" i="1"/>
  <c r="I171" i="1"/>
  <c r="F171" i="1"/>
  <c r="AT170" i="1"/>
  <c r="AQ170" i="1"/>
  <c r="AN170" i="1"/>
  <c r="AJ170" i="1"/>
  <c r="AG170" i="1"/>
  <c r="AD170" i="1"/>
  <c r="AC170" i="1"/>
  <c r="AB170" i="1"/>
  <c r="W170" i="1"/>
  <c r="N170" i="1"/>
  <c r="I170" i="1"/>
  <c r="F170" i="1"/>
  <c r="AT169" i="1"/>
  <c r="AQ169" i="1"/>
  <c r="AN169" i="1"/>
  <c r="AJ169" i="1"/>
  <c r="AG169" i="1"/>
  <c r="AK169" i="1" s="1"/>
  <c r="AD169" i="1"/>
  <c r="AC169" i="1"/>
  <c r="AB169" i="1"/>
  <c r="W169" i="1"/>
  <c r="N169" i="1"/>
  <c r="I169" i="1"/>
  <c r="F169" i="1"/>
  <c r="AT168" i="1"/>
  <c r="AQ168" i="1"/>
  <c r="AN168" i="1"/>
  <c r="AJ168" i="1"/>
  <c r="AG168" i="1"/>
  <c r="AK168" i="1" s="1"/>
  <c r="AD168" i="1"/>
  <c r="AC168" i="1"/>
  <c r="AB168" i="1"/>
  <c r="W168" i="1"/>
  <c r="N168" i="1"/>
  <c r="I168" i="1"/>
  <c r="F168" i="1"/>
  <c r="AT167" i="1"/>
  <c r="AQ167" i="1"/>
  <c r="AN167" i="1"/>
  <c r="AJ167" i="1"/>
  <c r="AG167" i="1"/>
  <c r="AD167" i="1"/>
  <c r="AC167" i="1"/>
  <c r="AB167" i="1"/>
  <c r="W167" i="1"/>
  <c r="N167" i="1"/>
  <c r="I167" i="1"/>
  <c r="F167" i="1"/>
  <c r="AT166" i="1"/>
  <c r="AQ166" i="1"/>
  <c r="AN166" i="1"/>
  <c r="AJ166" i="1"/>
  <c r="AG166" i="1"/>
  <c r="AK166" i="1" s="1"/>
  <c r="AD166" i="1"/>
  <c r="AC166" i="1"/>
  <c r="AB166" i="1"/>
  <c r="W166" i="1"/>
  <c r="N166" i="1"/>
  <c r="I166" i="1"/>
  <c r="F166" i="1"/>
  <c r="AT165" i="1"/>
  <c r="AQ165" i="1"/>
  <c r="AN165" i="1"/>
  <c r="AJ165" i="1"/>
  <c r="AG165" i="1"/>
  <c r="AD165" i="1"/>
  <c r="AC165" i="1"/>
  <c r="AB165" i="1"/>
  <c r="W165" i="1"/>
  <c r="N165" i="1"/>
  <c r="I165" i="1"/>
  <c r="F165" i="1"/>
  <c r="AT164" i="1"/>
  <c r="AQ164" i="1"/>
  <c r="AN164" i="1"/>
  <c r="AJ164" i="1"/>
  <c r="AG164" i="1"/>
  <c r="AD164" i="1"/>
  <c r="AC164" i="1"/>
  <c r="AB164" i="1"/>
  <c r="W164" i="1"/>
  <c r="N164" i="1"/>
  <c r="I164" i="1"/>
  <c r="F164" i="1"/>
  <c r="AT163" i="1"/>
  <c r="AQ163" i="1"/>
  <c r="AN163" i="1"/>
  <c r="AJ163" i="1"/>
  <c r="AG163" i="1"/>
  <c r="AD163" i="1"/>
  <c r="AC163" i="1"/>
  <c r="AB163" i="1"/>
  <c r="W163" i="1"/>
  <c r="N163" i="1"/>
  <c r="I163" i="1"/>
  <c r="F163" i="1"/>
  <c r="AT162" i="1"/>
  <c r="AQ162" i="1"/>
  <c r="AN162" i="1"/>
  <c r="AJ162" i="1"/>
  <c r="AG162" i="1"/>
  <c r="AK162" i="1" s="1"/>
  <c r="AD162" i="1"/>
  <c r="AC162" i="1"/>
  <c r="AB162" i="1"/>
  <c r="W162" i="1"/>
  <c r="N162" i="1"/>
  <c r="I162" i="1"/>
  <c r="F162" i="1"/>
  <c r="AT161" i="1"/>
  <c r="AQ161" i="1"/>
  <c r="AN161" i="1"/>
  <c r="AJ161" i="1"/>
  <c r="AG161" i="1"/>
  <c r="AK161" i="1" s="1"/>
  <c r="AD161" i="1"/>
  <c r="AC161" i="1"/>
  <c r="AB161" i="1"/>
  <c r="W161" i="1"/>
  <c r="N161" i="1"/>
  <c r="I161" i="1"/>
  <c r="F161" i="1"/>
  <c r="AT160" i="1"/>
  <c r="AQ160" i="1"/>
  <c r="AN160" i="1"/>
  <c r="AJ160" i="1"/>
  <c r="AG160" i="1"/>
  <c r="AK160" i="1" s="1"/>
  <c r="AD160" i="1"/>
  <c r="AC160" i="1"/>
  <c r="AB160" i="1"/>
  <c r="W160" i="1"/>
  <c r="N160" i="1"/>
  <c r="I160" i="1"/>
  <c r="F160" i="1"/>
  <c r="AT159" i="1"/>
  <c r="AQ159" i="1"/>
  <c r="AN159" i="1"/>
  <c r="AJ159" i="1"/>
  <c r="AG159" i="1"/>
  <c r="AK159" i="1" s="1"/>
  <c r="AD159" i="1"/>
  <c r="AC159" i="1"/>
  <c r="AB159" i="1"/>
  <c r="W159" i="1"/>
  <c r="N159" i="1"/>
  <c r="I159" i="1"/>
  <c r="F159" i="1"/>
  <c r="AT158" i="1"/>
  <c r="AQ158" i="1"/>
  <c r="AN158" i="1"/>
  <c r="AJ158" i="1"/>
  <c r="AG158" i="1"/>
  <c r="AD158" i="1"/>
  <c r="AC158" i="1"/>
  <c r="AB158" i="1"/>
  <c r="W158" i="1"/>
  <c r="N158" i="1"/>
  <c r="I158" i="1"/>
  <c r="F158" i="1"/>
  <c r="AT157" i="1"/>
  <c r="AQ157" i="1"/>
  <c r="AN157" i="1"/>
  <c r="AJ157" i="1"/>
  <c r="AG157" i="1"/>
  <c r="AD157" i="1"/>
  <c r="AC157" i="1"/>
  <c r="AB157" i="1"/>
  <c r="W157" i="1"/>
  <c r="N157" i="1"/>
  <c r="I157" i="1"/>
  <c r="F157" i="1"/>
  <c r="AT156" i="1"/>
  <c r="AQ156" i="1"/>
  <c r="AN156" i="1"/>
  <c r="AJ156" i="1"/>
  <c r="AK156" i="1" s="1"/>
  <c r="AG156" i="1"/>
  <c r="AD156" i="1"/>
  <c r="AC156" i="1"/>
  <c r="AB156" i="1"/>
  <c r="W156" i="1"/>
  <c r="N156" i="1"/>
  <c r="I156" i="1"/>
  <c r="F156" i="1"/>
  <c r="AT155" i="1"/>
  <c r="AQ155" i="1"/>
  <c r="AN155" i="1"/>
  <c r="AJ155" i="1"/>
  <c r="AG155" i="1"/>
  <c r="AD155" i="1"/>
  <c r="AC155" i="1"/>
  <c r="AB155" i="1"/>
  <c r="W155" i="1"/>
  <c r="N155" i="1"/>
  <c r="I155" i="1"/>
  <c r="F155" i="1"/>
  <c r="AT154" i="1"/>
  <c r="AQ154" i="1"/>
  <c r="AN154" i="1"/>
  <c r="AK154" i="1"/>
  <c r="AJ154" i="1"/>
  <c r="AG154" i="1"/>
  <c r="AD154" i="1"/>
  <c r="AC154" i="1"/>
  <c r="AB154" i="1"/>
  <c r="W154" i="1"/>
  <c r="N154" i="1"/>
  <c r="I154" i="1"/>
  <c r="F154" i="1"/>
  <c r="AT153" i="1"/>
  <c r="AQ153" i="1"/>
  <c r="AN153" i="1"/>
  <c r="AJ153" i="1"/>
  <c r="AG153" i="1"/>
  <c r="AK153" i="1" s="1"/>
  <c r="AD153" i="1"/>
  <c r="AC153" i="1"/>
  <c r="AB153" i="1"/>
  <c r="W153" i="1"/>
  <c r="N153" i="1"/>
  <c r="I153" i="1"/>
  <c r="F153" i="1"/>
  <c r="AT152" i="1"/>
  <c r="AQ152" i="1"/>
  <c r="AN152" i="1"/>
  <c r="AJ152" i="1"/>
  <c r="AG152" i="1"/>
  <c r="AD152" i="1"/>
  <c r="AC152" i="1"/>
  <c r="AB152" i="1"/>
  <c r="W152" i="1"/>
  <c r="N152" i="1"/>
  <c r="I152" i="1"/>
  <c r="F152" i="1"/>
  <c r="AT151" i="1"/>
  <c r="AQ151" i="1"/>
  <c r="AN151" i="1"/>
  <c r="AJ151" i="1"/>
  <c r="AG151" i="1"/>
  <c r="AK151" i="1" s="1"/>
  <c r="AD151" i="1"/>
  <c r="AC151" i="1"/>
  <c r="AB151" i="1"/>
  <c r="W151" i="1"/>
  <c r="N151" i="1"/>
  <c r="I151" i="1"/>
  <c r="F151" i="1"/>
  <c r="AT150" i="1"/>
  <c r="AQ150" i="1"/>
  <c r="AN150" i="1"/>
  <c r="AJ150" i="1"/>
  <c r="AG150" i="1"/>
  <c r="AK150" i="1" s="1"/>
  <c r="AD150" i="1"/>
  <c r="AC150" i="1"/>
  <c r="AB150" i="1"/>
  <c r="W150" i="1"/>
  <c r="N150" i="1"/>
  <c r="I150" i="1"/>
  <c r="F150" i="1"/>
  <c r="AT149" i="1"/>
  <c r="AQ149" i="1"/>
  <c r="AN149" i="1"/>
  <c r="AJ149" i="1"/>
  <c r="AG149" i="1"/>
  <c r="AK149" i="1" s="1"/>
  <c r="AD149" i="1"/>
  <c r="AC149" i="1"/>
  <c r="AB149" i="1"/>
  <c r="W149" i="1"/>
  <c r="N149" i="1"/>
  <c r="I149" i="1"/>
  <c r="F149" i="1"/>
  <c r="AT148" i="1"/>
  <c r="AQ148" i="1"/>
  <c r="AN148" i="1"/>
  <c r="AJ148" i="1"/>
  <c r="AG148" i="1"/>
  <c r="AK148" i="1" s="1"/>
  <c r="AD148" i="1"/>
  <c r="AC148" i="1"/>
  <c r="AB148" i="1"/>
  <c r="W148" i="1"/>
  <c r="N148" i="1"/>
  <c r="I148" i="1"/>
  <c r="F148" i="1"/>
  <c r="AT147" i="1"/>
  <c r="AQ147" i="1"/>
  <c r="AN147" i="1"/>
  <c r="AJ147" i="1"/>
  <c r="AG147" i="1"/>
  <c r="AK147" i="1" s="1"/>
  <c r="AD147" i="1"/>
  <c r="AC147" i="1"/>
  <c r="AB147" i="1"/>
  <c r="W147" i="1"/>
  <c r="N147" i="1"/>
  <c r="I147" i="1"/>
  <c r="F147" i="1"/>
  <c r="AT146" i="1"/>
  <c r="AQ146" i="1"/>
  <c r="AN146" i="1"/>
  <c r="AJ146" i="1"/>
  <c r="AG146" i="1"/>
  <c r="AD146" i="1"/>
  <c r="AC146" i="1"/>
  <c r="AB146" i="1"/>
  <c r="W146" i="1"/>
  <c r="N146" i="1"/>
  <c r="I146" i="1"/>
  <c r="F146" i="1"/>
  <c r="AT145" i="1"/>
  <c r="AQ145" i="1"/>
  <c r="AN145" i="1"/>
  <c r="AJ145" i="1"/>
  <c r="AG145" i="1"/>
  <c r="AK145" i="1" s="1"/>
  <c r="AD145" i="1"/>
  <c r="AC145" i="1"/>
  <c r="AB145" i="1"/>
  <c r="W145" i="1"/>
  <c r="N145" i="1"/>
  <c r="I145" i="1"/>
  <c r="F145" i="1"/>
  <c r="AT144" i="1"/>
  <c r="AQ144" i="1"/>
  <c r="AN144" i="1"/>
  <c r="AJ144" i="1"/>
  <c r="AG144" i="1"/>
  <c r="AK144" i="1" s="1"/>
  <c r="AD144" i="1"/>
  <c r="AC144" i="1"/>
  <c r="AB144" i="1"/>
  <c r="W144" i="1"/>
  <c r="N144" i="1"/>
  <c r="I144" i="1"/>
  <c r="F144" i="1"/>
  <c r="AT143" i="1"/>
  <c r="AQ143" i="1"/>
  <c r="AN143" i="1"/>
  <c r="AJ143" i="1"/>
  <c r="AG143" i="1"/>
  <c r="AD143" i="1"/>
  <c r="AC143" i="1"/>
  <c r="AB143" i="1"/>
  <c r="W143" i="1"/>
  <c r="N143" i="1"/>
  <c r="I143" i="1"/>
  <c r="F143" i="1"/>
  <c r="AT142" i="1"/>
  <c r="AQ142" i="1"/>
  <c r="AN142" i="1"/>
  <c r="AJ142" i="1"/>
  <c r="AG142" i="1"/>
  <c r="AK142" i="1" s="1"/>
  <c r="AD142" i="1"/>
  <c r="AC142" i="1"/>
  <c r="AB142" i="1"/>
  <c r="W142" i="1"/>
  <c r="N142" i="1"/>
  <c r="I142" i="1"/>
  <c r="F142" i="1"/>
  <c r="AT141" i="1"/>
  <c r="AQ141" i="1"/>
  <c r="AN141" i="1"/>
  <c r="AJ141" i="1"/>
  <c r="AG141" i="1"/>
  <c r="AD141" i="1"/>
  <c r="AC141" i="1"/>
  <c r="AB141" i="1"/>
  <c r="W141" i="1"/>
  <c r="N141" i="1"/>
  <c r="I141" i="1"/>
  <c r="F141" i="1"/>
  <c r="AT140" i="1"/>
  <c r="AQ140" i="1"/>
  <c r="AN140" i="1"/>
  <c r="AJ140" i="1"/>
  <c r="AG140" i="1"/>
  <c r="AD140" i="1"/>
  <c r="AC140" i="1"/>
  <c r="AB140" i="1"/>
  <c r="W140" i="1"/>
  <c r="N140" i="1"/>
  <c r="I140" i="1"/>
  <c r="F140" i="1"/>
  <c r="AT139" i="1"/>
  <c r="AQ139" i="1"/>
  <c r="AN139" i="1"/>
  <c r="AJ139" i="1"/>
  <c r="AG139" i="1"/>
  <c r="AD139" i="1"/>
  <c r="AC139" i="1"/>
  <c r="AB139" i="1"/>
  <c r="W139" i="1"/>
  <c r="N139" i="1"/>
  <c r="I139" i="1"/>
  <c r="F139" i="1"/>
  <c r="AT138" i="1"/>
  <c r="AQ138" i="1"/>
  <c r="AN138" i="1"/>
  <c r="AJ138" i="1"/>
  <c r="AG138" i="1"/>
  <c r="AK138" i="1" s="1"/>
  <c r="AD138" i="1"/>
  <c r="AC138" i="1"/>
  <c r="AB138" i="1"/>
  <c r="W138" i="1"/>
  <c r="N138" i="1"/>
  <c r="I138" i="1"/>
  <c r="F138" i="1"/>
  <c r="AT137" i="1"/>
  <c r="AQ137" i="1"/>
  <c r="AN137" i="1"/>
  <c r="AJ137" i="1"/>
  <c r="AG137" i="1"/>
  <c r="AK137" i="1" s="1"/>
  <c r="AD137" i="1"/>
  <c r="AC137" i="1"/>
  <c r="AB137" i="1"/>
  <c r="W137" i="1"/>
  <c r="N137" i="1"/>
  <c r="I137" i="1"/>
  <c r="F137" i="1"/>
  <c r="AT136" i="1"/>
  <c r="AQ136" i="1"/>
  <c r="AN136" i="1"/>
  <c r="AJ136" i="1"/>
  <c r="AG136" i="1"/>
  <c r="AK136" i="1" s="1"/>
  <c r="AD136" i="1"/>
  <c r="AC136" i="1"/>
  <c r="AB136" i="1"/>
  <c r="W136" i="1"/>
  <c r="N136" i="1"/>
  <c r="I136" i="1"/>
  <c r="F136" i="1"/>
  <c r="AT135" i="1"/>
  <c r="AQ135" i="1"/>
  <c r="AN135" i="1"/>
  <c r="AJ135" i="1"/>
  <c r="AG135" i="1"/>
  <c r="AK135" i="1" s="1"/>
  <c r="AD135" i="1"/>
  <c r="AC135" i="1"/>
  <c r="AB135" i="1"/>
  <c r="W135" i="1"/>
  <c r="N135" i="1"/>
  <c r="I135" i="1"/>
  <c r="F135" i="1"/>
  <c r="AT134" i="1"/>
  <c r="AQ134" i="1"/>
  <c r="AN134" i="1"/>
  <c r="AJ134" i="1"/>
  <c r="AG134" i="1"/>
  <c r="AD134" i="1"/>
  <c r="AC134" i="1"/>
  <c r="AB134" i="1"/>
  <c r="W134" i="1"/>
  <c r="N134" i="1"/>
  <c r="I134" i="1"/>
  <c r="F134" i="1"/>
  <c r="AT133" i="1"/>
  <c r="AQ133" i="1"/>
  <c r="AN133" i="1"/>
  <c r="AJ133" i="1"/>
  <c r="AG133" i="1"/>
  <c r="AD133" i="1"/>
  <c r="AC133" i="1"/>
  <c r="AB133" i="1"/>
  <c r="W133" i="1"/>
  <c r="N133" i="1"/>
  <c r="I133" i="1"/>
  <c r="F133" i="1"/>
  <c r="AT132" i="1"/>
  <c r="AQ132" i="1"/>
  <c r="AN132" i="1"/>
  <c r="AJ132" i="1"/>
  <c r="AK132" i="1" s="1"/>
  <c r="AG132" i="1"/>
  <c r="AD132" i="1"/>
  <c r="AC132" i="1"/>
  <c r="AB132" i="1"/>
  <c r="W132" i="1"/>
  <c r="N132" i="1"/>
  <c r="I132" i="1"/>
  <c r="F132" i="1"/>
  <c r="AT131" i="1"/>
  <c r="AQ131" i="1"/>
  <c r="AN131" i="1"/>
  <c r="AJ131" i="1"/>
  <c r="AK131" i="1" s="1"/>
  <c r="AG131" i="1"/>
  <c r="AD131" i="1"/>
  <c r="AC131" i="1"/>
  <c r="AB131" i="1"/>
  <c r="W131" i="1"/>
  <c r="N131" i="1"/>
  <c r="I131" i="1"/>
  <c r="F131" i="1"/>
  <c r="AT104" i="1"/>
  <c r="AQ104" i="1"/>
  <c r="AN104" i="1"/>
  <c r="AK104" i="1"/>
  <c r="AJ104" i="1"/>
  <c r="AG104" i="1"/>
  <c r="AD104" i="1"/>
  <c r="AC104" i="1"/>
  <c r="AB104" i="1"/>
  <c r="W104" i="1"/>
  <c r="N104" i="1"/>
  <c r="I104" i="1"/>
  <c r="F104" i="1"/>
  <c r="AT130" i="1"/>
  <c r="AQ130" i="1"/>
  <c r="AN130" i="1"/>
  <c r="AJ130" i="1"/>
  <c r="AG130" i="1"/>
  <c r="AD130" i="1"/>
  <c r="AC130" i="1"/>
  <c r="AB130" i="1"/>
  <c r="W130" i="1"/>
  <c r="N130" i="1"/>
  <c r="I130" i="1"/>
  <c r="F130" i="1"/>
  <c r="AT129" i="1"/>
  <c r="AQ129" i="1"/>
  <c r="AN129" i="1"/>
  <c r="AJ129" i="1"/>
  <c r="AG129" i="1"/>
  <c r="AD129" i="1"/>
  <c r="AC129" i="1"/>
  <c r="AB129" i="1"/>
  <c r="W129" i="1"/>
  <c r="N129" i="1"/>
  <c r="I129" i="1"/>
  <c r="F129" i="1"/>
  <c r="AT128" i="1"/>
  <c r="AQ128" i="1"/>
  <c r="AN128" i="1"/>
  <c r="AJ128" i="1"/>
  <c r="AK128" i="1" s="1"/>
  <c r="AG128" i="1"/>
  <c r="AD128" i="1"/>
  <c r="AC128" i="1"/>
  <c r="AB128" i="1"/>
  <c r="W128" i="1"/>
  <c r="N128" i="1"/>
  <c r="I128" i="1"/>
  <c r="F128" i="1"/>
  <c r="AT127" i="1"/>
  <c r="AQ127" i="1"/>
  <c r="AN127" i="1"/>
  <c r="AJ127" i="1"/>
  <c r="AG127" i="1"/>
  <c r="AD127" i="1"/>
  <c r="AC127" i="1"/>
  <c r="AB127" i="1"/>
  <c r="W127" i="1"/>
  <c r="N127" i="1"/>
  <c r="I127" i="1"/>
  <c r="F127" i="1"/>
  <c r="AT126" i="1"/>
  <c r="AQ126" i="1"/>
  <c r="AN126" i="1"/>
  <c r="AJ126" i="1"/>
  <c r="AG126" i="1"/>
  <c r="AD126" i="1"/>
  <c r="AC126" i="1"/>
  <c r="AB126" i="1"/>
  <c r="W126" i="1"/>
  <c r="N126" i="1"/>
  <c r="I126" i="1"/>
  <c r="F126" i="1"/>
  <c r="AT125" i="1"/>
  <c r="AQ125" i="1"/>
  <c r="AN125" i="1"/>
  <c r="AJ125" i="1"/>
  <c r="AG125" i="1"/>
  <c r="AD125" i="1"/>
  <c r="AC125" i="1"/>
  <c r="AB125" i="1"/>
  <c r="W125" i="1"/>
  <c r="N125" i="1"/>
  <c r="I125" i="1"/>
  <c r="F125" i="1"/>
  <c r="AT124" i="1"/>
  <c r="AQ124" i="1"/>
  <c r="AN124" i="1"/>
  <c r="AJ124" i="1"/>
  <c r="AG124" i="1"/>
  <c r="AD124" i="1"/>
  <c r="AC124" i="1"/>
  <c r="AB124" i="1"/>
  <c r="W124" i="1"/>
  <c r="N124" i="1"/>
  <c r="I124" i="1"/>
  <c r="F124" i="1"/>
  <c r="AT123" i="1"/>
  <c r="AQ123" i="1"/>
  <c r="AN123" i="1"/>
  <c r="AJ123" i="1"/>
  <c r="AG123" i="1"/>
  <c r="AD123" i="1"/>
  <c r="AC123" i="1"/>
  <c r="AB123" i="1"/>
  <c r="W123" i="1"/>
  <c r="N123" i="1"/>
  <c r="I123" i="1"/>
  <c r="F123" i="1"/>
  <c r="AT122" i="1"/>
  <c r="AQ122" i="1"/>
  <c r="AN122" i="1"/>
  <c r="AJ122" i="1"/>
  <c r="AG122" i="1"/>
  <c r="AD122" i="1"/>
  <c r="AC122" i="1"/>
  <c r="AB122" i="1"/>
  <c r="W122" i="1"/>
  <c r="N122" i="1"/>
  <c r="I122" i="1"/>
  <c r="F122" i="1"/>
  <c r="AT121" i="1"/>
  <c r="AQ121" i="1"/>
  <c r="AN121" i="1"/>
  <c r="AJ121" i="1"/>
  <c r="AG121" i="1"/>
  <c r="AD121" i="1"/>
  <c r="AC121" i="1"/>
  <c r="AB121" i="1"/>
  <c r="W121" i="1"/>
  <c r="N121" i="1"/>
  <c r="I121" i="1"/>
  <c r="F121" i="1"/>
  <c r="AT120" i="1"/>
  <c r="AQ120" i="1"/>
  <c r="AN120" i="1"/>
  <c r="AJ120" i="1"/>
  <c r="AK120" i="1" s="1"/>
  <c r="AG120" i="1"/>
  <c r="AD120" i="1"/>
  <c r="AC120" i="1"/>
  <c r="AB120" i="1"/>
  <c r="W120" i="1"/>
  <c r="N120" i="1"/>
  <c r="I120" i="1"/>
  <c r="F120" i="1"/>
  <c r="AT119" i="1"/>
  <c r="AQ119" i="1"/>
  <c r="AN119" i="1"/>
  <c r="AJ119" i="1"/>
  <c r="AG119" i="1"/>
  <c r="AD119" i="1"/>
  <c r="AC119" i="1"/>
  <c r="AB119" i="1"/>
  <c r="W119" i="1"/>
  <c r="N119" i="1"/>
  <c r="I119" i="1"/>
  <c r="F119" i="1"/>
  <c r="AT118" i="1"/>
  <c r="AQ118" i="1"/>
  <c r="AN118" i="1"/>
  <c r="AJ118" i="1"/>
  <c r="AK118" i="1" s="1"/>
  <c r="AG118" i="1"/>
  <c r="AD118" i="1"/>
  <c r="AC118" i="1"/>
  <c r="AB118" i="1"/>
  <c r="W118" i="1"/>
  <c r="N118" i="1"/>
  <c r="I118" i="1"/>
  <c r="F118" i="1"/>
  <c r="AT117" i="1"/>
  <c r="AQ117" i="1"/>
  <c r="AN117" i="1"/>
  <c r="AJ117" i="1"/>
  <c r="AG117" i="1"/>
  <c r="AD117" i="1"/>
  <c r="AC117" i="1"/>
  <c r="AB117" i="1"/>
  <c r="W117" i="1"/>
  <c r="N117" i="1"/>
  <c r="I117" i="1"/>
  <c r="F117" i="1"/>
  <c r="AT116" i="1"/>
  <c r="AQ116" i="1"/>
  <c r="AN116" i="1"/>
  <c r="AJ116" i="1"/>
  <c r="AK116" i="1" s="1"/>
  <c r="AG116" i="1"/>
  <c r="AD116" i="1"/>
  <c r="AC116" i="1"/>
  <c r="AB116" i="1"/>
  <c r="W116" i="1"/>
  <c r="N116" i="1"/>
  <c r="I116" i="1"/>
  <c r="F116" i="1"/>
  <c r="AT103" i="1"/>
  <c r="AQ103" i="1"/>
  <c r="AN103" i="1"/>
  <c r="AJ103" i="1"/>
  <c r="AG103" i="1"/>
  <c r="AK103" i="1" s="1"/>
  <c r="AD103" i="1"/>
  <c r="AC103" i="1"/>
  <c r="AB103" i="1"/>
  <c r="W103" i="1"/>
  <c r="N103" i="1"/>
  <c r="I103" i="1"/>
  <c r="F103" i="1"/>
  <c r="AT115" i="1"/>
  <c r="AQ115" i="1"/>
  <c r="AN115" i="1"/>
  <c r="AJ115" i="1"/>
  <c r="AG115" i="1"/>
  <c r="AD115" i="1"/>
  <c r="AC115" i="1"/>
  <c r="AB115" i="1"/>
  <c r="W115" i="1"/>
  <c r="N115" i="1"/>
  <c r="I115" i="1"/>
  <c r="F115" i="1"/>
  <c r="AT114" i="1"/>
  <c r="AQ114" i="1"/>
  <c r="AN114" i="1"/>
  <c r="AJ114" i="1"/>
  <c r="AG114" i="1"/>
  <c r="AK114" i="1" s="1"/>
  <c r="AD114" i="1"/>
  <c r="AC114" i="1"/>
  <c r="AB114" i="1"/>
  <c r="W114" i="1"/>
  <c r="N114" i="1"/>
  <c r="I114" i="1"/>
  <c r="F114" i="1"/>
  <c r="AT113" i="1"/>
  <c r="AQ113" i="1"/>
  <c r="AN113" i="1"/>
  <c r="AJ113" i="1"/>
  <c r="AG113" i="1"/>
  <c r="AK113" i="1" s="1"/>
  <c r="AD113" i="1"/>
  <c r="AC113" i="1"/>
  <c r="AB113" i="1"/>
  <c r="W113" i="1"/>
  <c r="N113" i="1"/>
  <c r="I113" i="1"/>
  <c r="F113" i="1"/>
  <c r="AT112" i="1"/>
  <c r="AQ112" i="1"/>
  <c r="AN112" i="1"/>
  <c r="AJ112" i="1"/>
  <c r="AG112" i="1"/>
  <c r="AD112" i="1"/>
  <c r="AC112" i="1"/>
  <c r="AB112" i="1"/>
  <c r="W112" i="1"/>
  <c r="N112" i="1"/>
  <c r="I112" i="1"/>
  <c r="F112" i="1"/>
  <c r="AT111" i="1"/>
  <c r="AQ111" i="1"/>
  <c r="AN111" i="1"/>
  <c r="AJ111" i="1"/>
  <c r="AG111" i="1"/>
  <c r="AD111" i="1"/>
  <c r="AC111" i="1"/>
  <c r="AB111" i="1"/>
  <c r="W111" i="1"/>
  <c r="N111" i="1"/>
  <c r="I111" i="1"/>
  <c r="F111" i="1"/>
  <c r="AT110" i="1"/>
  <c r="AQ110" i="1"/>
  <c r="AN110" i="1"/>
  <c r="AJ110" i="1"/>
  <c r="AG110" i="1"/>
  <c r="AK110" i="1" s="1"/>
  <c r="AD110" i="1"/>
  <c r="AC110" i="1"/>
  <c r="AB110" i="1"/>
  <c r="W110" i="1"/>
  <c r="N110" i="1"/>
  <c r="I110" i="1"/>
  <c r="F110" i="1"/>
  <c r="AT109" i="1"/>
  <c r="AQ109" i="1"/>
  <c r="AN109" i="1"/>
  <c r="AJ109" i="1"/>
  <c r="AG109" i="1"/>
  <c r="AD109" i="1"/>
  <c r="AC109" i="1"/>
  <c r="AB109" i="1"/>
  <c r="W109" i="1"/>
  <c r="N109" i="1"/>
  <c r="I109" i="1"/>
  <c r="F109" i="1"/>
  <c r="AT108" i="1"/>
  <c r="AQ108" i="1"/>
  <c r="AN108" i="1"/>
  <c r="AJ108" i="1"/>
  <c r="AG108" i="1"/>
  <c r="AK108" i="1" s="1"/>
  <c r="AD108" i="1"/>
  <c r="AC108" i="1"/>
  <c r="AB108" i="1"/>
  <c r="W108" i="1"/>
  <c r="N108" i="1"/>
  <c r="I108" i="1"/>
  <c r="F108" i="1"/>
  <c r="AT107" i="1"/>
  <c r="AQ107" i="1"/>
  <c r="AN107" i="1"/>
  <c r="AJ107" i="1"/>
  <c r="AG107" i="1"/>
  <c r="AK107" i="1" s="1"/>
  <c r="AD107" i="1"/>
  <c r="AC107" i="1"/>
  <c r="AB107" i="1"/>
  <c r="W107" i="1"/>
  <c r="N107" i="1"/>
  <c r="I107" i="1"/>
  <c r="F107" i="1"/>
  <c r="AT106" i="1"/>
  <c r="AQ106" i="1"/>
  <c r="AN106" i="1"/>
  <c r="AJ106" i="1"/>
  <c r="AG106" i="1"/>
  <c r="AD106" i="1"/>
  <c r="AC106" i="1"/>
  <c r="AB106" i="1"/>
  <c r="W106" i="1"/>
  <c r="N106" i="1"/>
  <c r="I106" i="1"/>
  <c r="F106" i="1"/>
  <c r="AT105" i="1"/>
  <c r="AQ105" i="1"/>
  <c r="AN105" i="1"/>
  <c r="AJ105" i="1"/>
  <c r="AG105" i="1"/>
  <c r="AD105" i="1"/>
  <c r="AC105" i="1"/>
  <c r="AB105" i="1"/>
  <c r="W105" i="1"/>
  <c r="N105" i="1"/>
  <c r="I105" i="1"/>
  <c r="F105" i="1"/>
  <c r="AT102" i="1"/>
  <c r="AQ102" i="1"/>
  <c r="AN102" i="1"/>
  <c r="AJ102" i="1"/>
  <c r="AG102" i="1"/>
  <c r="AK102" i="1" s="1"/>
  <c r="AD102" i="1"/>
  <c r="AC102" i="1"/>
  <c r="AB102" i="1"/>
  <c r="W102" i="1"/>
  <c r="N102" i="1"/>
  <c r="I102" i="1"/>
  <c r="F102" i="1"/>
  <c r="AT101" i="1"/>
  <c r="AQ101" i="1"/>
  <c r="AN101" i="1"/>
  <c r="AJ101" i="1"/>
  <c r="AG101" i="1"/>
  <c r="AD101" i="1"/>
  <c r="AC101" i="1"/>
  <c r="AB101" i="1"/>
  <c r="W101" i="1"/>
  <c r="N101" i="1"/>
  <c r="I101" i="1"/>
  <c r="F101" i="1"/>
  <c r="AT100" i="1"/>
  <c r="AQ100" i="1"/>
  <c r="AN100" i="1"/>
  <c r="AJ100" i="1"/>
  <c r="AG100" i="1"/>
  <c r="AK100" i="1" s="1"/>
  <c r="AD100" i="1"/>
  <c r="AC100" i="1"/>
  <c r="AB100" i="1"/>
  <c r="W100" i="1"/>
  <c r="N100" i="1"/>
  <c r="I100" i="1"/>
  <c r="F100" i="1"/>
  <c r="AT99" i="1"/>
  <c r="AQ99" i="1"/>
  <c r="AN99" i="1"/>
  <c r="AJ99" i="1"/>
  <c r="AG99" i="1"/>
  <c r="AK99" i="1" s="1"/>
  <c r="AD99" i="1"/>
  <c r="AC99" i="1"/>
  <c r="AB99" i="1"/>
  <c r="W99" i="1"/>
  <c r="N99" i="1"/>
  <c r="I99" i="1"/>
  <c r="F99" i="1"/>
  <c r="AT98" i="1"/>
  <c r="AQ98" i="1"/>
  <c r="AN98" i="1"/>
  <c r="AJ98" i="1"/>
  <c r="AG98" i="1"/>
  <c r="AK98" i="1" s="1"/>
  <c r="AD98" i="1"/>
  <c r="AC98" i="1"/>
  <c r="AB98" i="1"/>
  <c r="W98" i="1"/>
  <c r="N98" i="1"/>
  <c r="I98" i="1"/>
  <c r="F98" i="1"/>
  <c r="AT97" i="1"/>
  <c r="AQ97" i="1"/>
  <c r="AN97" i="1"/>
  <c r="AJ97" i="1"/>
  <c r="AG97" i="1"/>
  <c r="AD97" i="1"/>
  <c r="AC97" i="1"/>
  <c r="AB97" i="1"/>
  <c r="W97" i="1"/>
  <c r="N97" i="1"/>
  <c r="I97" i="1"/>
  <c r="F97" i="1"/>
  <c r="AT96" i="1"/>
  <c r="AQ96" i="1"/>
  <c r="AN96" i="1"/>
  <c r="AJ96" i="1"/>
  <c r="AG96" i="1"/>
  <c r="AK96" i="1" s="1"/>
  <c r="AD96" i="1"/>
  <c r="AC96" i="1"/>
  <c r="AB96" i="1"/>
  <c r="W96" i="1"/>
  <c r="N96" i="1"/>
  <c r="I96" i="1"/>
  <c r="F96" i="1"/>
  <c r="AT95" i="1"/>
  <c r="AQ95" i="1"/>
  <c r="AN95" i="1"/>
  <c r="AJ95" i="1"/>
  <c r="AG95" i="1"/>
  <c r="AD95" i="1"/>
  <c r="AC95" i="1"/>
  <c r="AB95" i="1"/>
  <c r="W95" i="1"/>
  <c r="N95" i="1"/>
  <c r="I95" i="1"/>
  <c r="F95" i="1"/>
  <c r="AT70" i="1"/>
  <c r="AQ70" i="1"/>
  <c r="AN70" i="1"/>
  <c r="AJ70" i="1"/>
  <c r="AG70" i="1"/>
  <c r="AK70" i="1" s="1"/>
  <c r="AD70" i="1"/>
  <c r="AC70" i="1"/>
  <c r="AB70" i="1"/>
  <c r="W70" i="1"/>
  <c r="N70" i="1"/>
  <c r="I70" i="1"/>
  <c r="F70" i="1"/>
  <c r="AT94" i="1"/>
  <c r="AQ94" i="1"/>
  <c r="AN94" i="1"/>
  <c r="AJ94" i="1"/>
  <c r="AG94" i="1"/>
  <c r="AD94" i="1"/>
  <c r="AC94" i="1"/>
  <c r="AB94" i="1"/>
  <c r="W94" i="1"/>
  <c r="N94" i="1"/>
  <c r="I94" i="1"/>
  <c r="F94" i="1"/>
  <c r="AT93" i="1"/>
  <c r="AQ93" i="1"/>
  <c r="AN93" i="1"/>
  <c r="AJ93" i="1"/>
  <c r="AG93" i="1"/>
  <c r="AD93" i="1"/>
  <c r="AC93" i="1"/>
  <c r="AB93" i="1"/>
  <c r="W93" i="1"/>
  <c r="N93" i="1"/>
  <c r="I93" i="1"/>
  <c r="F93" i="1"/>
  <c r="AT92" i="1"/>
  <c r="AQ92" i="1"/>
  <c r="AN92" i="1"/>
  <c r="AJ92" i="1"/>
  <c r="AG92" i="1"/>
  <c r="AD92" i="1"/>
  <c r="AC92" i="1"/>
  <c r="AB92" i="1"/>
  <c r="W92" i="1"/>
  <c r="N92" i="1"/>
  <c r="I92" i="1"/>
  <c r="F92" i="1"/>
  <c r="AT91" i="1"/>
  <c r="AQ91" i="1"/>
  <c r="AN91" i="1"/>
  <c r="AJ91" i="1"/>
  <c r="AG91" i="1"/>
  <c r="AK91" i="1" s="1"/>
  <c r="AD91" i="1"/>
  <c r="AC91" i="1"/>
  <c r="AB91" i="1"/>
  <c r="W91" i="1"/>
  <c r="N91" i="1"/>
  <c r="I91" i="1"/>
  <c r="F91" i="1"/>
  <c r="AT90" i="1"/>
  <c r="AQ90" i="1"/>
  <c r="AN90" i="1"/>
  <c r="AJ90" i="1"/>
  <c r="AG90" i="1"/>
  <c r="AD90" i="1"/>
  <c r="AC90" i="1"/>
  <c r="AB90" i="1"/>
  <c r="W90" i="1"/>
  <c r="N90" i="1"/>
  <c r="I90" i="1"/>
  <c r="F90" i="1"/>
  <c r="AT89" i="1"/>
  <c r="AQ89" i="1"/>
  <c r="AN89" i="1"/>
  <c r="AJ89" i="1"/>
  <c r="AG89" i="1"/>
  <c r="AK89" i="1" s="1"/>
  <c r="AD89" i="1"/>
  <c r="AC89" i="1"/>
  <c r="AB89" i="1"/>
  <c r="W89" i="1"/>
  <c r="N89" i="1"/>
  <c r="I89" i="1"/>
  <c r="F89" i="1"/>
  <c r="AT88" i="1"/>
  <c r="AQ88" i="1"/>
  <c r="AN88" i="1"/>
  <c r="AJ88" i="1"/>
  <c r="AK88" i="1" s="1"/>
  <c r="AG88" i="1"/>
  <c r="AD88" i="1"/>
  <c r="AC88" i="1"/>
  <c r="AB88" i="1"/>
  <c r="W88" i="1"/>
  <c r="N88" i="1"/>
  <c r="I88" i="1"/>
  <c r="F88" i="1"/>
  <c r="AT87" i="1"/>
  <c r="AQ87" i="1"/>
  <c r="AN87" i="1"/>
  <c r="AJ87" i="1"/>
  <c r="AG87" i="1"/>
  <c r="AD87" i="1"/>
  <c r="AC87" i="1"/>
  <c r="AB87" i="1"/>
  <c r="W87" i="1"/>
  <c r="N87" i="1"/>
  <c r="I87" i="1"/>
  <c r="F87" i="1"/>
  <c r="AT86" i="1"/>
  <c r="AQ86" i="1"/>
  <c r="AN86" i="1"/>
  <c r="AJ86" i="1"/>
  <c r="AG86" i="1"/>
  <c r="AD86" i="1"/>
  <c r="AC86" i="1"/>
  <c r="AB86" i="1"/>
  <c r="W86" i="1"/>
  <c r="N86" i="1"/>
  <c r="I86" i="1"/>
  <c r="F86" i="1"/>
  <c r="AT85" i="1"/>
  <c r="AQ85" i="1"/>
  <c r="AN85" i="1"/>
  <c r="AJ85" i="1"/>
  <c r="AK85" i="1" s="1"/>
  <c r="AG85" i="1"/>
  <c r="AD85" i="1"/>
  <c r="AC85" i="1"/>
  <c r="AB85" i="1"/>
  <c r="W85" i="1"/>
  <c r="N85" i="1"/>
  <c r="I85" i="1"/>
  <c r="F85" i="1"/>
  <c r="AT84" i="1"/>
  <c r="AQ84" i="1"/>
  <c r="AN84" i="1"/>
  <c r="AJ84" i="1"/>
  <c r="AK84" i="1" s="1"/>
  <c r="AG84" i="1"/>
  <c r="AD84" i="1"/>
  <c r="AC84" i="1"/>
  <c r="AB84" i="1"/>
  <c r="W84" i="1"/>
  <c r="N84" i="1"/>
  <c r="I84" i="1"/>
  <c r="F84" i="1"/>
  <c r="AT83" i="1"/>
  <c r="AQ83" i="1"/>
  <c r="AN83" i="1"/>
  <c r="AK83" i="1"/>
  <c r="AJ83" i="1"/>
  <c r="AG83" i="1"/>
  <c r="AD83" i="1"/>
  <c r="AC83" i="1"/>
  <c r="AB83" i="1"/>
  <c r="W83" i="1"/>
  <c r="N83" i="1"/>
  <c r="I83" i="1"/>
  <c r="F83" i="1"/>
  <c r="AT82" i="1"/>
  <c r="AQ82" i="1"/>
  <c r="AN82" i="1"/>
  <c r="AJ82" i="1"/>
  <c r="AG82" i="1"/>
  <c r="AK82" i="1" s="1"/>
  <c r="AD82" i="1"/>
  <c r="AC82" i="1"/>
  <c r="AB82" i="1"/>
  <c r="W82" i="1"/>
  <c r="N82" i="1"/>
  <c r="I82" i="1"/>
  <c r="F82" i="1"/>
  <c r="AT81" i="1"/>
  <c r="AQ81" i="1"/>
  <c r="AN81" i="1"/>
  <c r="AJ81" i="1"/>
  <c r="AG81" i="1"/>
  <c r="AD81" i="1"/>
  <c r="AC81" i="1"/>
  <c r="AB81" i="1"/>
  <c r="W81" i="1"/>
  <c r="N81" i="1"/>
  <c r="I81" i="1"/>
  <c r="F81" i="1"/>
  <c r="AT80" i="1"/>
  <c r="AQ80" i="1"/>
  <c r="AN80" i="1"/>
  <c r="AJ80" i="1"/>
  <c r="AG80" i="1"/>
  <c r="AD80" i="1"/>
  <c r="AC80" i="1"/>
  <c r="AB80" i="1"/>
  <c r="W80" i="1"/>
  <c r="N80" i="1"/>
  <c r="I80" i="1"/>
  <c r="F80" i="1"/>
  <c r="AT79" i="1"/>
  <c r="AQ79" i="1"/>
  <c r="AN79" i="1"/>
  <c r="AJ79" i="1"/>
  <c r="AG79" i="1"/>
  <c r="AK79" i="1" s="1"/>
  <c r="AD79" i="1"/>
  <c r="AC79" i="1"/>
  <c r="AB79" i="1"/>
  <c r="W79" i="1"/>
  <c r="N79" i="1"/>
  <c r="I79" i="1"/>
  <c r="F79" i="1"/>
  <c r="AT78" i="1"/>
  <c r="AQ78" i="1"/>
  <c r="AN78" i="1"/>
  <c r="AJ78" i="1"/>
  <c r="AG78" i="1"/>
  <c r="AD78" i="1"/>
  <c r="AC78" i="1"/>
  <c r="AB78" i="1"/>
  <c r="W78" i="1"/>
  <c r="N78" i="1"/>
  <c r="I78" i="1"/>
  <c r="F78" i="1"/>
  <c r="AT77" i="1"/>
  <c r="AQ77" i="1"/>
  <c r="AN77" i="1"/>
  <c r="AJ77" i="1"/>
  <c r="AG77" i="1"/>
  <c r="AK77" i="1" s="1"/>
  <c r="AD77" i="1"/>
  <c r="AC77" i="1"/>
  <c r="AB77" i="1"/>
  <c r="W77" i="1"/>
  <c r="N77" i="1"/>
  <c r="I77" i="1"/>
  <c r="F77" i="1"/>
  <c r="AT76" i="1"/>
  <c r="AQ76" i="1"/>
  <c r="AN76" i="1"/>
  <c r="AJ76" i="1"/>
  <c r="AG76" i="1"/>
  <c r="AK76" i="1" s="1"/>
  <c r="AD76" i="1"/>
  <c r="AC76" i="1"/>
  <c r="AB76" i="1"/>
  <c r="W76" i="1"/>
  <c r="N76" i="1"/>
  <c r="I76" i="1"/>
  <c r="F76" i="1"/>
  <c r="AT75" i="1"/>
  <c r="AQ75" i="1"/>
  <c r="AN75" i="1"/>
  <c r="AJ75" i="1"/>
  <c r="AG75" i="1"/>
  <c r="AK75" i="1" s="1"/>
  <c r="AD75" i="1"/>
  <c r="AC75" i="1"/>
  <c r="AB75" i="1"/>
  <c r="W75" i="1"/>
  <c r="N75" i="1"/>
  <c r="I75" i="1"/>
  <c r="F75" i="1"/>
  <c r="AT74" i="1"/>
  <c r="AQ74" i="1"/>
  <c r="AN74" i="1"/>
  <c r="AJ74" i="1"/>
  <c r="AG74" i="1"/>
  <c r="AD74" i="1"/>
  <c r="AC74" i="1"/>
  <c r="AB74" i="1"/>
  <c r="W74" i="1"/>
  <c r="N74" i="1"/>
  <c r="I74" i="1"/>
  <c r="F74" i="1"/>
  <c r="AT73" i="1"/>
  <c r="AQ73" i="1"/>
  <c r="AN73" i="1"/>
  <c r="AJ73" i="1"/>
  <c r="AG73" i="1"/>
  <c r="AK73" i="1" s="1"/>
  <c r="AD73" i="1"/>
  <c r="AC73" i="1"/>
  <c r="AB73" i="1"/>
  <c r="W73" i="1"/>
  <c r="N73" i="1"/>
  <c r="I73" i="1"/>
  <c r="F73" i="1"/>
  <c r="AT15" i="1"/>
  <c r="AQ15" i="1"/>
  <c r="AN15" i="1"/>
  <c r="AJ15" i="1"/>
  <c r="AG15" i="1"/>
  <c r="AD15" i="1"/>
  <c r="AC15" i="1"/>
  <c r="AB15" i="1"/>
  <c r="W15" i="1"/>
  <c r="N15" i="1"/>
  <c r="I15" i="1"/>
  <c r="F15" i="1"/>
  <c r="AT72" i="1"/>
  <c r="AQ72" i="1"/>
  <c r="AN72" i="1"/>
  <c r="AJ72" i="1"/>
  <c r="AG72" i="1"/>
  <c r="AK72" i="1" s="1"/>
  <c r="AD72" i="1"/>
  <c r="AC72" i="1"/>
  <c r="AB72" i="1"/>
  <c r="W72" i="1"/>
  <c r="N72" i="1"/>
  <c r="I72" i="1"/>
  <c r="F72" i="1"/>
  <c r="AT71" i="1"/>
  <c r="AQ71" i="1"/>
  <c r="AN71" i="1"/>
  <c r="AJ71" i="1"/>
  <c r="AG71" i="1"/>
  <c r="AD71" i="1"/>
  <c r="AC71" i="1"/>
  <c r="AB71" i="1"/>
  <c r="W71" i="1"/>
  <c r="N71" i="1"/>
  <c r="I71" i="1"/>
  <c r="F71" i="1"/>
  <c r="AT69" i="1"/>
  <c r="AQ69" i="1"/>
  <c r="AN69" i="1"/>
  <c r="AJ69" i="1"/>
  <c r="AG69" i="1"/>
  <c r="AD69" i="1"/>
  <c r="AC69" i="1"/>
  <c r="AB69" i="1"/>
  <c r="W69" i="1"/>
  <c r="N69" i="1"/>
  <c r="I69" i="1"/>
  <c r="F69" i="1"/>
  <c r="AT68" i="1"/>
  <c r="AQ68" i="1"/>
  <c r="AN68" i="1"/>
  <c r="AJ68" i="1"/>
  <c r="AG68" i="1"/>
  <c r="AD68" i="1"/>
  <c r="AC68" i="1"/>
  <c r="AB68" i="1"/>
  <c r="W68" i="1"/>
  <c r="N68" i="1"/>
  <c r="I68" i="1"/>
  <c r="F68" i="1"/>
  <c r="AT67" i="1"/>
  <c r="AQ67" i="1"/>
  <c r="AN67" i="1"/>
  <c r="AJ67" i="1"/>
  <c r="AG67" i="1"/>
  <c r="AK67" i="1" s="1"/>
  <c r="AD67" i="1"/>
  <c r="AC67" i="1"/>
  <c r="AB67" i="1"/>
  <c r="W67" i="1"/>
  <c r="N67" i="1"/>
  <c r="I67" i="1"/>
  <c r="F67" i="1"/>
  <c r="AT66" i="1"/>
  <c r="AQ66" i="1"/>
  <c r="AN66" i="1"/>
  <c r="AJ66" i="1"/>
  <c r="AG66" i="1"/>
  <c r="AD66" i="1"/>
  <c r="AC66" i="1"/>
  <c r="AB66" i="1"/>
  <c r="W66" i="1"/>
  <c r="N66" i="1"/>
  <c r="I66" i="1"/>
  <c r="F66" i="1"/>
  <c r="AT65" i="1"/>
  <c r="AQ65" i="1"/>
  <c r="AN65" i="1"/>
  <c r="AJ65" i="1"/>
  <c r="AG65" i="1"/>
  <c r="AK65" i="1" s="1"/>
  <c r="AD65" i="1"/>
  <c r="AC65" i="1"/>
  <c r="AB65" i="1"/>
  <c r="W65" i="1"/>
  <c r="N65" i="1"/>
  <c r="I65" i="1"/>
  <c r="F65" i="1"/>
  <c r="AT64" i="1"/>
  <c r="AQ64" i="1"/>
  <c r="AN64" i="1"/>
  <c r="AJ64" i="1"/>
  <c r="AG64" i="1"/>
  <c r="AK64" i="1" s="1"/>
  <c r="AD64" i="1"/>
  <c r="AC64" i="1"/>
  <c r="AB64" i="1"/>
  <c r="W64" i="1"/>
  <c r="N64" i="1"/>
  <c r="I64" i="1"/>
  <c r="F64" i="1"/>
  <c r="AT63" i="1"/>
  <c r="AQ63" i="1"/>
  <c r="AN63" i="1"/>
  <c r="AJ63" i="1"/>
  <c r="AG63" i="1"/>
  <c r="AK63" i="1" s="1"/>
  <c r="AD63" i="1"/>
  <c r="AC63" i="1"/>
  <c r="AB63" i="1"/>
  <c r="W63" i="1"/>
  <c r="N63" i="1"/>
  <c r="I63" i="1"/>
  <c r="F63" i="1"/>
  <c r="AT62" i="1"/>
  <c r="AQ62" i="1"/>
  <c r="AN62" i="1"/>
  <c r="AJ62" i="1"/>
  <c r="AG62" i="1"/>
  <c r="AD62" i="1"/>
  <c r="AC62" i="1"/>
  <c r="AB62" i="1"/>
  <c r="W62" i="1"/>
  <c r="N62" i="1"/>
  <c r="I62" i="1"/>
  <c r="F62" i="1"/>
  <c r="AT61" i="1"/>
  <c r="AQ61" i="1"/>
  <c r="AN61" i="1"/>
  <c r="AJ61" i="1"/>
  <c r="AG61" i="1"/>
  <c r="AD61" i="1"/>
  <c r="AC61" i="1"/>
  <c r="AB61" i="1"/>
  <c r="W61" i="1"/>
  <c r="N61" i="1"/>
  <c r="I61" i="1"/>
  <c r="F61" i="1"/>
  <c r="AT60" i="1"/>
  <c r="AQ60" i="1"/>
  <c r="AN60" i="1"/>
  <c r="AJ60" i="1"/>
  <c r="AG60" i="1"/>
  <c r="AD60" i="1"/>
  <c r="AC60" i="1"/>
  <c r="AB60" i="1"/>
  <c r="W60" i="1"/>
  <c r="N60" i="1"/>
  <c r="I60" i="1"/>
  <c r="F60" i="1"/>
  <c r="AT59" i="1"/>
  <c r="AQ59" i="1"/>
  <c r="AN59" i="1"/>
  <c r="AJ59" i="1"/>
  <c r="AG59" i="1"/>
  <c r="AK59" i="1" s="1"/>
  <c r="AD59" i="1"/>
  <c r="AC59" i="1"/>
  <c r="AB59" i="1"/>
  <c r="W59" i="1"/>
  <c r="N59" i="1"/>
  <c r="I59" i="1"/>
  <c r="F59" i="1"/>
  <c r="AT58" i="1"/>
  <c r="AQ58" i="1"/>
  <c r="AN58" i="1"/>
  <c r="AJ58" i="1"/>
  <c r="AG58" i="1"/>
  <c r="AK58" i="1" s="1"/>
  <c r="AD58" i="1"/>
  <c r="AC58" i="1"/>
  <c r="AB58" i="1"/>
  <c r="W58" i="1"/>
  <c r="N58" i="1"/>
  <c r="I58" i="1"/>
  <c r="F58" i="1"/>
  <c r="AT57" i="1"/>
  <c r="AQ57" i="1"/>
  <c r="AN57" i="1"/>
  <c r="AJ57" i="1"/>
  <c r="AG57" i="1"/>
  <c r="AD57" i="1"/>
  <c r="AC57" i="1"/>
  <c r="AB57" i="1"/>
  <c r="W57" i="1"/>
  <c r="N57" i="1"/>
  <c r="I57" i="1"/>
  <c r="F57" i="1"/>
  <c r="AT56" i="1"/>
  <c r="AQ56" i="1"/>
  <c r="AN56" i="1"/>
  <c r="AJ56" i="1"/>
  <c r="AG56" i="1"/>
  <c r="AD56" i="1"/>
  <c r="AC56" i="1"/>
  <c r="AB56" i="1"/>
  <c r="W56" i="1"/>
  <c r="N56" i="1"/>
  <c r="I56" i="1"/>
  <c r="F56" i="1"/>
  <c r="AT55" i="1"/>
  <c r="AQ55" i="1"/>
  <c r="AN55" i="1"/>
  <c r="AJ55" i="1"/>
  <c r="AG55" i="1"/>
  <c r="AK55" i="1" s="1"/>
  <c r="AD55" i="1"/>
  <c r="AC55" i="1"/>
  <c r="AB55" i="1"/>
  <c r="W55" i="1"/>
  <c r="N55" i="1"/>
  <c r="I55" i="1"/>
  <c r="F55" i="1"/>
  <c r="AT54" i="1"/>
  <c r="AQ54" i="1"/>
  <c r="AN54" i="1"/>
  <c r="AJ54" i="1"/>
  <c r="AG54" i="1"/>
  <c r="AD54" i="1"/>
  <c r="AC54" i="1"/>
  <c r="AB54" i="1"/>
  <c r="W54" i="1"/>
  <c r="N54" i="1"/>
  <c r="I54" i="1"/>
  <c r="F54" i="1"/>
  <c r="AT53" i="1"/>
  <c r="AQ53" i="1"/>
  <c r="AN53" i="1"/>
  <c r="AJ53" i="1"/>
  <c r="AG53" i="1"/>
  <c r="AK53" i="1" s="1"/>
  <c r="AD53" i="1"/>
  <c r="AC53" i="1"/>
  <c r="AB53" i="1"/>
  <c r="W53" i="1"/>
  <c r="N53" i="1"/>
  <c r="I53" i="1"/>
  <c r="F53" i="1"/>
  <c r="AT52" i="1"/>
  <c r="AQ52" i="1"/>
  <c r="AN52" i="1"/>
  <c r="AJ52" i="1"/>
  <c r="AG52" i="1"/>
  <c r="AK52" i="1" s="1"/>
  <c r="AD52" i="1"/>
  <c r="AC52" i="1"/>
  <c r="AB52" i="1"/>
  <c r="W52" i="1"/>
  <c r="N52" i="1"/>
  <c r="I52" i="1"/>
  <c r="F52" i="1"/>
  <c r="AT51" i="1"/>
  <c r="AQ51" i="1"/>
  <c r="AN51" i="1"/>
  <c r="AJ51" i="1"/>
  <c r="AG51" i="1"/>
  <c r="AK51" i="1" s="1"/>
  <c r="AD51" i="1"/>
  <c r="AC51" i="1"/>
  <c r="AB51" i="1"/>
  <c r="W51" i="1"/>
  <c r="N51" i="1"/>
  <c r="I51" i="1"/>
  <c r="F51" i="1"/>
  <c r="AT50" i="1"/>
  <c r="AQ50" i="1"/>
  <c r="AN50" i="1"/>
  <c r="AJ50" i="1"/>
  <c r="AG50" i="1"/>
  <c r="AD50" i="1"/>
  <c r="AC50" i="1"/>
  <c r="AB50" i="1"/>
  <c r="W50" i="1"/>
  <c r="N50" i="1"/>
  <c r="I50" i="1"/>
  <c r="F50" i="1"/>
  <c r="AT49" i="1"/>
  <c r="AQ49" i="1"/>
  <c r="AN49" i="1"/>
  <c r="AJ49" i="1"/>
  <c r="AG49" i="1"/>
  <c r="AK49" i="1" s="1"/>
  <c r="AD49" i="1"/>
  <c r="AC49" i="1"/>
  <c r="AB49" i="1"/>
  <c r="W49" i="1"/>
  <c r="N49" i="1"/>
  <c r="I49" i="1"/>
  <c r="F49" i="1"/>
  <c r="AT48" i="1"/>
  <c r="AQ48" i="1"/>
  <c r="AN48" i="1"/>
  <c r="AJ48" i="1"/>
  <c r="AG48" i="1"/>
  <c r="AD48" i="1"/>
  <c r="AC48" i="1"/>
  <c r="AB48" i="1"/>
  <c r="W48" i="1"/>
  <c r="N48" i="1"/>
  <c r="I48" i="1"/>
  <c r="F48" i="1"/>
  <c r="AT47" i="1"/>
  <c r="AQ47" i="1"/>
  <c r="AN47" i="1"/>
  <c r="AJ47" i="1"/>
  <c r="AG47" i="1"/>
  <c r="AK47" i="1" s="1"/>
  <c r="AD47" i="1"/>
  <c r="AC47" i="1"/>
  <c r="AB47" i="1"/>
  <c r="W47" i="1"/>
  <c r="N47" i="1"/>
  <c r="I47" i="1"/>
  <c r="F47" i="1"/>
  <c r="AT46" i="1"/>
  <c r="AQ46" i="1"/>
  <c r="AN46" i="1"/>
  <c r="AJ46" i="1"/>
  <c r="AG46" i="1"/>
  <c r="AD46" i="1"/>
  <c r="AC46" i="1"/>
  <c r="AB46" i="1"/>
  <c r="W46" i="1"/>
  <c r="N46" i="1"/>
  <c r="I46" i="1"/>
  <c r="F46" i="1"/>
  <c r="AT45" i="1"/>
  <c r="AQ45" i="1"/>
  <c r="AN45" i="1"/>
  <c r="AJ45" i="1"/>
  <c r="AG45" i="1"/>
  <c r="AD45" i="1"/>
  <c r="AC45" i="1"/>
  <c r="AB45" i="1"/>
  <c r="W45" i="1"/>
  <c r="N45" i="1"/>
  <c r="I45" i="1"/>
  <c r="F45" i="1"/>
  <c r="AT44" i="1"/>
  <c r="AQ44" i="1"/>
  <c r="AN44" i="1"/>
  <c r="AJ44" i="1"/>
  <c r="AG44" i="1"/>
  <c r="AD44" i="1"/>
  <c r="AC44" i="1"/>
  <c r="AB44" i="1"/>
  <c r="W44" i="1"/>
  <c r="N44" i="1"/>
  <c r="I44" i="1"/>
  <c r="F44" i="1"/>
  <c r="AT43" i="1"/>
  <c r="AQ43" i="1"/>
  <c r="AN43" i="1"/>
  <c r="AJ43" i="1"/>
  <c r="AK43" i="1" s="1"/>
  <c r="AG43" i="1"/>
  <c r="AD43" i="1"/>
  <c r="AC43" i="1"/>
  <c r="AB43" i="1"/>
  <c r="W43" i="1"/>
  <c r="N43" i="1"/>
  <c r="I43" i="1"/>
  <c r="F43" i="1"/>
  <c r="AT42" i="1"/>
  <c r="AQ42" i="1"/>
  <c r="AN42" i="1"/>
  <c r="AJ42" i="1"/>
  <c r="AG42" i="1"/>
  <c r="AD42" i="1"/>
  <c r="AC42" i="1"/>
  <c r="AB42" i="1"/>
  <c r="W42" i="1"/>
  <c r="N42" i="1"/>
  <c r="I42" i="1"/>
  <c r="F42" i="1"/>
  <c r="AT41" i="1"/>
  <c r="AQ41" i="1"/>
  <c r="AN41" i="1"/>
  <c r="AJ41" i="1"/>
  <c r="AG41" i="1"/>
  <c r="AD41" i="1"/>
  <c r="AC41" i="1"/>
  <c r="AB41" i="1"/>
  <c r="W41" i="1"/>
  <c r="N41" i="1"/>
  <c r="I41" i="1"/>
  <c r="F41" i="1"/>
  <c r="AT40" i="1"/>
  <c r="AQ40" i="1"/>
  <c r="AN40" i="1"/>
  <c r="AK40" i="1"/>
  <c r="AJ40" i="1"/>
  <c r="AG40" i="1"/>
  <c r="AD40" i="1"/>
  <c r="AC40" i="1"/>
  <c r="AB40" i="1"/>
  <c r="W40" i="1"/>
  <c r="N40" i="1"/>
  <c r="I40" i="1"/>
  <c r="F40" i="1"/>
  <c r="AT39" i="1"/>
  <c r="AQ39" i="1"/>
  <c r="AN39" i="1"/>
  <c r="AJ39" i="1"/>
  <c r="AG39" i="1"/>
  <c r="AK39" i="1" s="1"/>
  <c r="AD39" i="1"/>
  <c r="AC39" i="1"/>
  <c r="AB39" i="1"/>
  <c r="W39" i="1"/>
  <c r="N39" i="1"/>
  <c r="I39" i="1"/>
  <c r="F39" i="1"/>
  <c r="AT38" i="1"/>
  <c r="AQ38" i="1"/>
  <c r="AN38" i="1"/>
  <c r="AJ38" i="1"/>
  <c r="AG38" i="1"/>
  <c r="AD38" i="1"/>
  <c r="AC38" i="1"/>
  <c r="AB38" i="1"/>
  <c r="W38" i="1"/>
  <c r="N38" i="1"/>
  <c r="I38" i="1"/>
  <c r="F38" i="1"/>
  <c r="AT37" i="1"/>
  <c r="AQ37" i="1"/>
  <c r="AN37" i="1"/>
  <c r="AJ37" i="1"/>
  <c r="AG37" i="1"/>
  <c r="AD37" i="1"/>
  <c r="AC37" i="1"/>
  <c r="AB37" i="1"/>
  <c r="W37" i="1"/>
  <c r="N37" i="1"/>
  <c r="I37" i="1"/>
  <c r="F37" i="1"/>
  <c r="AT36" i="1"/>
  <c r="AQ36" i="1"/>
  <c r="AN36" i="1"/>
  <c r="AJ36" i="1"/>
  <c r="AG36" i="1"/>
  <c r="AK36" i="1" s="1"/>
  <c r="AD36" i="1"/>
  <c r="AC36" i="1"/>
  <c r="AB36" i="1"/>
  <c r="W36" i="1"/>
  <c r="N36" i="1"/>
  <c r="I36" i="1"/>
  <c r="F36" i="1"/>
  <c r="AT35" i="1"/>
  <c r="AQ35" i="1"/>
  <c r="AN35" i="1"/>
  <c r="AJ35" i="1"/>
  <c r="AG35" i="1"/>
  <c r="AK35" i="1" s="1"/>
  <c r="AD35" i="1"/>
  <c r="AC35" i="1"/>
  <c r="AB35" i="1"/>
  <c r="W35" i="1"/>
  <c r="N35" i="1"/>
  <c r="I35" i="1"/>
  <c r="F35" i="1"/>
  <c r="AT34" i="1"/>
  <c r="AQ34" i="1"/>
  <c r="AN34" i="1"/>
  <c r="AJ34" i="1"/>
  <c r="AG34" i="1"/>
  <c r="AK34" i="1" s="1"/>
  <c r="AD34" i="1"/>
  <c r="AC34" i="1"/>
  <c r="AB34" i="1"/>
  <c r="W34" i="1"/>
  <c r="N34" i="1"/>
  <c r="I34" i="1"/>
  <c r="F34" i="1"/>
  <c r="AT33" i="1"/>
  <c r="AQ33" i="1"/>
  <c r="AN33" i="1"/>
  <c r="AJ33" i="1"/>
  <c r="AG33" i="1"/>
  <c r="AK33" i="1" s="1"/>
  <c r="AD33" i="1"/>
  <c r="AC33" i="1"/>
  <c r="AB33" i="1"/>
  <c r="W33" i="1"/>
  <c r="N33" i="1"/>
  <c r="I33" i="1"/>
  <c r="F33" i="1"/>
  <c r="AT32" i="1"/>
  <c r="AQ32" i="1"/>
  <c r="AN32" i="1"/>
  <c r="AJ32" i="1"/>
  <c r="AG32" i="1"/>
  <c r="AD32" i="1"/>
  <c r="AC32" i="1"/>
  <c r="AB32" i="1"/>
  <c r="W32" i="1"/>
  <c r="N32" i="1"/>
  <c r="I32" i="1"/>
  <c r="F32" i="1"/>
  <c r="AT31" i="1"/>
  <c r="AQ31" i="1"/>
  <c r="AN31" i="1"/>
  <c r="AJ31" i="1"/>
  <c r="AG31" i="1"/>
  <c r="AK31" i="1" s="1"/>
  <c r="AD31" i="1"/>
  <c r="AC31" i="1"/>
  <c r="AB31" i="1"/>
  <c r="W31" i="1"/>
  <c r="N31" i="1"/>
  <c r="I31" i="1"/>
  <c r="F31" i="1"/>
  <c r="AT30" i="1"/>
  <c r="AQ30" i="1"/>
  <c r="AN30" i="1"/>
  <c r="AJ30" i="1"/>
  <c r="AG30" i="1"/>
  <c r="AK30" i="1" s="1"/>
  <c r="AD30" i="1"/>
  <c r="AC30" i="1"/>
  <c r="AB30" i="1"/>
  <c r="W30" i="1"/>
  <c r="N30" i="1"/>
  <c r="I30" i="1"/>
  <c r="F30" i="1"/>
  <c r="AT29" i="1"/>
  <c r="AQ29" i="1"/>
  <c r="AN29" i="1"/>
  <c r="AJ29" i="1"/>
  <c r="AG29" i="1"/>
  <c r="AK29" i="1" s="1"/>
  <c r="AD29" i="1"/>
  <c r="AC29" i="1"/>
  <c r="AB29" i="1"/>
  <c r="W29" i="1"/>
  <c r="N29" i="1"/>
  <c r="I29" i="1"/>
  <c r="F29" i="1"/>
  <c r="AT28" i="1"/>
  <c r="AQ28" i="1"/>
  <c r="AN28" i="1"/>
  <c r="AJ28" i="1"/>
  <c r="AG28" i="1"/>
  <c r="AK28" i="1" s="1"/>
  <c r="AD28" i="1"/>
  <c r="AC28" i="1"/>
  <c r="AB28" i="1"/>
  <c r="W28" i="1"/>
  <c r="N28" i="1"/>
  <c r="I28" i="1"/>
  <c r="F28" i="1"/>
  <c r="AT27" i="1"/>
  <c r="AQ27" i="1"/>
  <c r="AN27" i="1"/>
  <c r="AJ27" i="1"/>
  <c r="AG27" i="1"/>
  <c r="AK27" i="1" s="1"/>
  <c r="AD27" i="1"/>
  <c r="AC27" i="1"/>
  <c r="AB27" i="1"/>
  <c r="W27" i="1"/>
  <c r="N27" i="1"/>
  <c r="I27" i="1"/>
  <c r="F27" i="1"/>
  <c r="AT26" i="1"/>
  <c r="AQ26" i="1"/>
  <c r="AN26" i="1"/>
  <c r="AJ26" i="1"/>
  <c r="AG26" i="1"/>
  <c r="AD26" i="1"/>
  <c r="AC26" i="1"/>
  <c r="AB26" i="1"/>
  <c r="W26" i="1"/>
  <c r="N26" i="1"/>
  <c r="I26" i="1"/>
  <c r="F26" i="1"/>
  <c r="AT25" i="1"/>
  <c r="AQ25" i="1"/>
  <c r="AN25" i="1"/>
  <c r="AJ25" i="1"/>
  <c r="AG25" i="1"/>
  <c r="AD25" i="1"/>
  <c r="AC25" i="1"/>
  <c r="AB25" i="1"/>
  <c r="W25" i="1"/>
  <c r="N25" i="1"/>
  <c r="I25" i="1"/>
  <c r="F25" i="1"/>
  <c r="AT24" i="1"/>
  <c r="AQ24" i="1"/>
  <c r="AN24" i="1"/>
  <c r="AJ24" i="1"/>
  <c r="AG24" i="1"/>
  <c r="AK24" i="1" s="1"/>
  <c r="AD24" i="1"/>
  <c r="AC24" i="1"/>
  <c r="AB24" i="1"/>
  <c r="W24" i="1"/>
  <c r="N24" i="1"/>
  <c r="I24" i="1"/>
  <c r="F24" i="1"/>
  <c r="AT23" i="1"/>
  <c r="AQ23" i="1"/>
  <c r="AN23" i="1"/>
  <c r="AJ23" i="1"/>
  <c r="AG23" i="1"/>
  <c r="AK23" i="1" s="1"/>
  <c r="AD23" i="1"/>
  <c r="AC23" i="1"/>
  <c r="AB23" i="1"/>
  <c r="W23" i="1"/>
  <c r="N23" i="1"/>
  <c r="I23" i="1"/>
  <c r="F23" i="1"/>
  <c r="AT22" i="1"/>
  <c r="AQ22" i="1"/>
  <c r="AN22" i="1"/>
  <c r="AJ22" i="1"/>
  <c r="AG22" i="1"/>
  <c r="AK22" i="1" s="1"/>
  <c r="AD22" i="1"/>
  <c r="AC22" i="1"/>
  <c r="AB22" i="1"/>
  <c r="W22" i="1"/>
  <c r="N22" i="1"/>
  <c r="I22" i="1"/>
  <c r="F22" i="1"/>
  <c r="AT21" i="1"/>
  <c r="AQ21" i="1"/>
  <c r="AN21" i="1"/>
  <c r="AJ21" i="1"/>
  <c r="AG21" i="1"/>
  <c r="AK21" i="1" s="1"/>
  <c r="AD21" i="1"/>
  <c r="AC21" i="1"/>
  <c r="AB21" i="1"/>
  <c r="W21" i="1"/>
  <c r="N21" i="1"/>
  <c r="I21" i="1"/>
  <c r="F21" i="1"/>
  <c r="AT20" i="1"/>
  <c r="AQ20" i="1"/>
  <c r="AN20" i="1"/>
  <c r="AJ20" i="1"/>
  <c r="AG20" i="1"/>
  <c r="AD20" i="1"/>
  <c r="AC20" i="1"/>
  <c r="AB20" i="1"/>
  <c r="W20" i="1"/>
  <c r="N20" i="1"/>
  <c r="I20" i="1"/>
  <c r="F20" i="1"/>
  <c r="AT19" i="1"/>
  <c r="AQ19" i="1"/>
  <c r="AN19" i="1"/>
  <c r="AJ19" i="1"/>
  <c r="AG19" i="1"/>
  <c r="AD19" i="1"/>
  <c r="AC19" i="1"/>
  <c r="AB19" i="1"/>
  <c r="W19" i="1"/>
  <c r="N19" i="1"/>
  <c r="I19" i="1"/>
  <c r="F19" i="1"/>
  <c r="AT18" i="1"/>
  <c r="AQ18" i="1"/>
  <c r="AN18" i="1"/>
  <c r="AJ18" i="1"/>
  <c r="AG18" i="1"/>
  <c r="AK18" i="1" s="1"/>
  <c r="AD18" i="1"/>
  <c r="AC18" i="1"/>
  <c r="AB18" i="1"/>
  <c r="W18" i="1"/>
  <c r="N18" i="1"/>
  <c r="I18" i="1"/>
  <c r="F18" i="1"/>
  <c r="AT14" i="1"/>
  <c r="AQ14" i="1"/>
  <c r="AN14" i="1"/>
  <c r="AJ14" i="1"/>
  <c r="AG14" i="1"/>
  <c r="AK14" i="1" s="1"/>
  <c r="AD14" i="1"/>
  <c r="AC14" i="1"/>
  <c r="AB14" i="1"/>
  <c r="W14" i="1"/>
  <c r="N14" i="1"/>
  <c r="I14" i="1"/>
  <c r="F14" i="1"/>
  <c r="AT17" i="1"/>
  <c r="AQ17" i="1"/>
  <c r="AN17" i="1"/>
  <c r="AJ17" i="1"/>
  <c r="AG17" i="1"/>
  <c r="AK17" i="1" s="1"/>
  <c r="AD17" i="1"/>
  <c r="AC17" i="1"/>
  <c r="AB17" i="1"/>
  <c r="W17" i="1"/>
  <c r="N17" i="1"/>
  <c r="I17" i="1"/>
  <c r="F17" i="1"/>
  <c r="AT13" i="1"/>
  <c r="AQ13" i="1"/>
  <c r="AN13" i="1"/>
  <c r="AJ13" i="1"/>
  <c r="AG13" i="1"/>
  <c r="AK13" i="1" s="1"/>
  <c r="AD13" i="1"/>
  <c r="AC13" i="1"/>
  <c r="AB13" i="1"/>
  <c r="W13" i="1"/>
  <c r="N13" i="1"/>
  <c r="I13" i="1"/>
  <c r="F13" i="1"/>
  <c r="AT16" i="1"/>
  <c r="AQ16" i="1"/>
  <c r="AN16" i="1"/>
  <c r="AJ16" i="1"/>
  <c r="AG16" i="1"/>
  <c r="AD16" i="1"/>
  <c r="AC16" i="1"/>
  <c r="AB16" i="1"/>
  <c r="W16" i="1"/>
  <c r="N16" i="1"/>
  <c r="I16" i="1"/>
  <c r="F16" i="1"/>
  <c r="AT12" i="1"/>
  <c r="AQ12" i="1"/>
  <c r="AN12" i="1"/>
  <c r="AJ12" i="1"/>
  <c r="AG12" i="1"/>
  <c r="AD12" i="1"/>
  <c r="AC12" i="1"/>
  <c r="AB12" i="1"/>
  <c r="W12" i="1"/>
  <c r="N12" i="1"/>
  <c r="I12" i="1"/>
  <c r="F12" i="1"/>
  <c r="AT11" i="1"/>
  <c r="AQ11" i="1"/>
  <c r="AN11" i="1"/>
  <c r="AJ11" i="1"/>
  <c r="AG11" i="1"/>
  <c r="AK11" i="1" s="1"/>
  <c r="AD11" i="1"/>
  <c r="AC11" i="1"/>
  <c r="AB11" i="1"/>
  <c r="W11" i="1"/>
  <c r="N11" i="1"/>
  <c r="I11" i="1"/>
  <c r="F11" i="1"/>
  <c r="AT10" i="1"/>
  <c r="AQ10" i="1"/>
  <c r="AN10" i="1"/>
  <c r="AJ10" i="1"/>
  <c r="AG10" i="1"/>
  <c r="AK10" i="1" s="1"/>
  <c r="AD10" i="1"/>
  <c r="AC10" i="1"/>
  <c r="AB10" i="1"/>
  <c r="W10" i="1"/>
  <c r="N10" i="1"/>
  <c r="I10" i="1"/>
  <c r="F10" i="1"/>
  <c r="AT9" i="1"/>
  <c r="AQ9" i="1"/>
  <c r="AN9" i="1"/>
  <c r="AJ9" i="1"/>
  <c r="AG9" i="1"/>
  <c r="AK9" i="1" s="1"/>
  <c r="AD9" i="1"/>
  <c r="AC9" i="1"/>
  <c r="AB9" i="1"/>
  <c r="W9" i="1"/>
  <c r="N9" i="1"/>
  <c r="I9" i="1"/>
  <c r="F9" i="1"/>
  <c r="AT8" i="1"/>
  <c r="AQ8" i="1"/>
  <c r="AN8" i="1"/>
  <c r="AJ8" i="1"/>
  <c r="AG8" i="1"/>
  <c r="AK8" i="1" s="1"/>
  <c r="AD8" i="1"/>
  <c r="AC8" i="1"/>
  <c r="AB8" i="1"/>
  <c r="W8" i="1"/>
  <c r="N8" i="1"/>
  <c r="I8" i="1"/>
  <c r="F8" i="1"/>
  <c r="AT7" i="1"/>
  <c r="AQ7" i="1"/>
  <c r="AN7" i="1"/>
  <c r="AJ7" i="1"/>
  <c r="AG7" i="1"/>
  <c r="AD7" i="1"/>
  <c r="AC7" i="1"/>
  <c r="AB7" i="1"/>
  <c r="W7" i="1"/>
  <c r="N7" i="1"/>
  <c r="I7" i="1"/>
  <c r="F7" i="1"/>
  <c r="AT6" i="1"/>
  <c r="AQ6" i="1"/>
  <c r="AN6" i="1"/>
  <c r="AJ6" i="1"/>
  <c r="AG6" i="1"/>
  <c r="AD6" i="1"/>
  <c r="AC6" i="1"/>
  <c r="AB6" i="1"/>
  <c r="W6" i="1"/>
  <c r="N6" i="1"/>
  <c r="I6" i="1"/>
  <c r="F6" i="1"/>
  <c r="AT5" i="1"/>
  <c r="AQ5" i="1"/>
  <c r="AN5" i="1"/>
  <c r="AJ5" i="1"/>
  <c r="AG5" i="1"/>
  <c r="AK5" i="1" s="1"/>
  <c r="AD5" i="1"/>
  <c r="AC5" i="1"/>
  <c r="AB5" i="1"/>
  <c r="W5" i="1"/>
  <c r="N5" i="1"/>
  <c r="I5" i="1"/>
  <c r="F5" i="1"/>
  <c r="AT4" i="1"/>
  <c r="AQ4" i="1"/>
  <c r="AN4" i="1"/>
  <c r="AJ4" i="1"/>
  <c r="AG4" i="1"/>
  <c r="AK4" i="1" s="1"/>
  <c r="AD4" i="1"/>
  <c r="AC4" i="1"/>
  <c r="AB4" i="1"/>
  <c r="W4" i="1"/>
  <c r="N4" i="1"/>
  <c r="I4" i="1"/>
  <c r="F4" i="1"/>
  <c r="AT3" i="1"/>
  <c r="AQ3" i="1"/>
  <c r="AN3" i="1"/>
  <c r="AJ3" i="1"/>
  <c r="AK3" i="1" s="1"/>
  <c r="AG3" i="1"/>
  <c r="AD3" i="1"/>
  <c r="AC3" i="1"/>
  <c r="AB3" i="1"/>
  <c r="W3" i="1"/>
  <c r="N3" i="1"/>
  <c r="I3" i="1"/>
  <c r="F3" i="1"/>
  <c r="AT2" i="1"/>
  <c r="AQ2" i="1"/>
  <c r="AN2" i="1"/>
  <c r="AJ2" i="1"/>
  <c r="AG2" i="1"/>
  <c r="AD2" i="1"/>
  <c r="AC2" i="1"/>
  <c r="AB2" i="1"/>
  <c r="W2" i="1"/>
  <c r="N2" i="1"/>
  <c r="I2" i="1"/>
  <c r="AU83" i="1" l="1"/>
  <c r="AU154" i="1"/>
  <c r="AK25" i="1"/>
  <c r="AK119" i="1"/>
  <c r="AK121" i="1"/>
  <c r="AU121" i="1" s="1"/>
  <c r="AK123" i="1"/>
  <c r="AK124" i="1"/>
  <c r="AK125" i="1"/>
  <c r="AK127" i="1"/>
  <c r="AU127" i="1" s="1"/>
  <c r="AK130" i="1"/>
  <c r="AK111" i="1"/>
  <c r="AU111" i="1" s="1"/>
  <c r="AK37" i="1"/>
  <c r="AU37" i="1" s="1"/>
  <c r="AK41" i="1"/>
  <c r="AU41" i="1" s="1"/>
  <c r="AU59" i="1"/>
  <c r="AK158" i="1"/>
  <c r="AK6" i="1"/>
  <c r="AK12" i="1"/>
  <c r="AK92" i="1"/>
  <c r="AK94" i="1"/>
  <c r="AU94" i="1" s="1"/>
  <c r="AK95" i="1"/>
  <c r="AU95" i="1" s="1"/>
  <c r="AK105" i="1"/>
  <c r="AK19" i="1"/>
  <c r="AU19" i="1" s="1"/>
  <c r="AK109" i="1"/>
  <c r="AU109" i="1" s="1"/>
  <c r="AK164" i="1"/>
  <c r="AU164" i="1" s="1"/>
  <c r="AK165" i="1"/>
  <c r="AU165" i="1" s="1"/>
  <c r="AK174" i="1"/>
  <c r="AU18" i="1"/>
  <c r="AU108" i="1"/>
  <c r="AK44" i="1"/>
  <c r="AU44" i="1" s="1"/>
  <c r="AK46" i="1"/>
  <c r="AK48" i="1"/>
  <c r="AK56" i="1"/>
  <c r="AU56" i="1" s="1"/>
  <c r="AK133" i="1"/>
  <c r="AK60" i="1"/>
  <c r="AU60" i="1" s="1"/>
  <c r="AK61" i="1"/>
  <c r="AU61" i="1" s="1"/>
  <c r="AU36" i="1"/>
  <c r="AK139" i="1"/>
  <c r="AK141" i="1"/>
  <c r="AK2" i="1"/>
  <c r="AK68" i="1"/>
  <c r="AK71" i="1"/>
  <c r="AK15" i="1"/>
  <c r="AK80" i="1"/>
  <c r="AK87" i="1"/>
  <c r="AU87" i="1" s="1"/>
  <c r="AU104" i="1"/>
  <c r="AU21" i="1"/>
  <c r="AU64" i="1"/>
  <c r="AU159" i="1"/>
  <c r="AU4" i="1"/>
  <c r="AU23" i="1"/>
  <c r="AK50" i="1"/>
  <c r="AU65" i="1"/>
  <c r="AK74" i="1"/>
  <c r="AU89" i="1"/>
  <c r="AK97" i="1"/>
  <c r="AU97" i="1" s="1"/>
  <c r="AU114" i="1"/>
  <c r="AK122" i="1"/>
  <c r="AU122" i="1" s="1"/>
  <c r="AU136" i="1"/>
  <c r="AK146" i="1"/>
  <c r="AU146" i="1" s="1"/>
  <c r="AU160" i="1"/>
  <c r="AK170" i="1"/>
  <c r="AU170" i="1" s="1"/>
  <c r="AU3" i="1"/>
  <c r="AU5" i="1"/>
  <c r="AU24" i="1"/>
  <c r="AU43" i="1"/>
  <c r="AU67" i="1"/>
  <c r="AU91" i="1"/>
  <c r="AU115" i="1"/>
  <c r="AU103" i="1"/>
  <c r="AU137" i="1"/>
  <c r="AU138" i="1"/>
  <c r="AU161" i="1"/>
  <c r="AU162" i="1"/>
  <c r="AK173" i="1"/>
  <c r="AU22" i="1"/>
  <c r="AU39" i="1"/>
  <c r="AU88" i="1"/>
  <c r="AU133" i="1"/>
  <c r="AU158" i="1"/>
  <c r="AU6" i="1"/>
  <c r="AK16" i="1"/>
  <c r="AU16" i="1" s="1"/>
  <c r="AU25" i="1"/>
  <c r="AK32" i="1"/>
  <c r="AU46" i="1"/>
  <c r="AK54" i="1"/>
  <c r="AU54" i="1" s="1"/>
  <c r="AK57" i="1"/>
  <c r="AU68" i="1"/>
  <c r="AU71" i="1"/>
  <c r="AK78" i="1"/>
  <c r="AU78" i="1" s="1"/>
  <c r="AK81" i="1"/>
  <c r="AU81" i="1" s="1"/>
  <c r="AU92" i="1"/>
  <c r="AK101" i="1"/>
  <c r="AU101" i="1" s="1"/>
  <c r="AK106" i="1"/>
  <c r="AU116" i="1"/>
  <c r="AU118" i="1"/>
  <c r="AK126" i="1"/>
  <c r="AU126" i="1" s="1"/>
  <c r="AK129" i="1"/>
  <c r="AU129" i="1" s="1"/>
  <c r="AU139" i="1"/>
  <c r="AU141" i="1"/>
  <c r="AK175" i="1"/>
  <c r="AU8" i="1"/>
  <c r="AU9" i="1"/>
  <c r="AU27" i="1"/>
  <c r="AU28" i="1"/>
  <c r="AU47" i="1"/>
  <c r="AU72" i="1"/>
  <c r="AU70" i="1"/>
  <c r="AU119" i="1"/>
  <c r="AU142" i="1"/>
  <c r="AK152" i="1"/>
  <c r="AU152" i="1" s="1"/>
  <c r="AU166" i="1"/>
  <c r="AK176" i="1"/>
  <c r="AU176" i="1" s="1"/>
  <c r="AU40" i="1"/>
  <c r="AU63" i="1"/>
  <c r="AU113" i="1"/>
  <c r="AU135" i="1"/>
  <c r="AU10" i="1"/>
  <c r="AU29" i="1"/>
  <c r="AU49" i="1"/>
  <c r="AU73" i="1"/>
  <c r="AU96" i="1"/>
  <c r="AU144" i="1"/>
  <c r="AK155" i="1"/>
  <c r="AU155" i="1" s="1"/>
  <c r="AU168" i="1"/>
  <c r="AK179" i="1"/>
  <c r="AU179" i="1" s="1"/>
  <c r="AK180" i="1"/>
  <c r="AU180" i="1" s="1"/>
  <c r="AK181" i="1"/>
  <c r="AU181" i="1" s="1"/>
  <c r="AU11" i="1"/>
  <c r="AU30" i="1"/>
  <c r="AU52" i="1"/>
  <c r="AU76" i="1"/>
  <c r="AU99" i="1"/>
  <c r="AK112" i="1"/>
  <c r="AU112" i="1" s="1"/>
  <c r="AU124" i="1"/>
  <c r="AK134" i="1"/>
  <c r="AU134" i="1" s="1"/>
  <c r="AU147" i="1"/>
  <c r="AK157" i="1"/>
  <c r="AU157" i="1" s="1"/>
  <c r="AU171" i="1"/>
  <c r="AK182" i="1"/>
  <c r="AU182" i="1" s="1"/>
  <c r="AU2" i="1"/>
  <c r="AU12" i="1"/>
  <c r="AK20" i="1"/>
  <c r="AU20" i="1" s="1"/>
  <c r="AU31" i="1"/>
  <c r="AK38" i="1"/>
  <c r="AU38" i="1" s="1"/>
  <c r="AU53" i="1"/>
  <c r="AK62" i="1"/>
  <c r="AU62" i="1" s="1"/>
  <c r="AU77" i="1"/>
  <c r="AK86" i="1"/>
  <c r="AU86" i="1" s="1"/>
  <c r="AU100" i="1"/>
  <c r="AU125" i="1"/>
  <c r="AU148" i="1"/>
  <c r="AU172" i="1"/>
  <c r="AK185" i="1"/>
  <c r="AU185" i="1" s="1"/>
  <c r="AK186" i="1"/>
  <c r="AU186" i="1" s="1"/>
  <c r="AU17" i="1"/>
  <c r="AU34" i="1"/>
  <c r="AU55" i="1"/>
  <c r="AU79" i="1"/>
  <c r="AU102" i="1"/>
  <c r="AU150" i="1"/>
  <c r="AU174" i="1"/>
  <c r="AU14" i="1"/>
  <c r="AU35" i="1"/>
  <c r="AK42" i="1"/>
  <c r="AU42" i="1" s="1"/>
  <c r="AK45" i="1"/>
  <c r="AU45" i="1" s="1"/>
  <c r="AU58" i="1"/>
  <c r="AK66" i="1"/>
  <c r="AU66" i="1" s="1"/>
  <c r="AK69" i="1"/>
  <c r="AU69" i="1" s="1"/>
  <c r="AU82" i="1"/>
  <c r="AK90" i="1"/>
  <c r="AU90" i="1" s="1"/>
  <c r="AK93" i="1"/>
  <c r="AU93" i="1" s="1"/>
  <c r="AU107" i="1"/>
  <c r="AK115" i="1"/>
  <c r="AK117" i="1"/>
  <c r="AU117" i="1" s="1"/>
  <c r="AU130" i="1"/>
  <c r="AK140" i="1"/>
  <c r="AU140" i="1" s="1"/>
  <c r="AU153" i="1"/>
  <c r="AK163" i="1"/>
  <c r="AU163" i="1" s="1"/>
  <c r="AU177" i="1"/>
  <c r="AU178" i="1"/>
  <c r="AK7" i="1"/>
  <c r="AU7" i="1" s="1"/>
  <c r="AK26" i="1"/>
  <c r="AU26" i="1" s="1"/>
  <c r="AU84" i="1"/>
  <c r="AU85" i="1"/>
  <c r="AU110" i="1"/>
  <c r="AU131" i="1"/>
  <c r="AU132" i="1"/>
  <c r="AK143" i="1"/>
  <c r="AU143" i="1" s="1"/>
  <c r="AU156" i="1"/>
  <c r="AK167" i="1"/>
  <c r="AU167" i="1" s="1"/>
  <c r="AU183" i="1"/>
  <c r="AU184" i="1"/>
  <c r="AU48" i="1"/>
  <c r="AU15" i="1"/>
  <c r="AU120" i="1"/>
  <c r="AU50" i="1"/>
  <c r="AU51" i="1"/>
  <c r="AU74" i="1"/>
  <c r="AU75" i="1"/>
  <c r="AU98" i="1"/>
  <c r="AU123" i="1"/>
  <c r="AU145" i="1"/>
  <c r="AU169" i="1"/>
  <c r="AU13" i="1"/>
  <c r="AU32" i="1"/>
  <c r="AU33" i="1"/>
  <c r="AU149" i="1"/>
  <c r="AU173" i="1"/>
  <c r="AU57" i="1"/>
  <c r="AU80" i="1"/>
  <c r="AU105" i="1"/>
  <c r="AU106" i="1"/>
  <c r="AU128" i="1"/>
  <c r="AU151" i="1"/>
  <c r="AU175" i="1"/>
</calcChain>
</file>

<file path=xl/sharedStrings.xml><?xml version="1.0" encoding="utf-8"?>
<sst xmlns="http://schemas.openxmlformats.org/spreadsheetml/2006/main" count="263" uniqueCount="233">
  <si>
    <t>S.No</t>
  </si>
  <si>
    <t>Name</t>
  </si>
  <si>
    <t>Mar Cap Rs.Cr. </t>
  </si>
  <si>
    <t>PE Ratio</t>
  </si>
  <si>
    <t>Sector  PE</t>
  </si>
  <si>
    <t>Mark1</t>
  </si>
  <si>
    <t>PB Ratio</t>
  </si>
  <si>
    <t>PEG</t>
  </si>
  <si>
    <t>Mark 2</t>
  </si>
  <si>
    <t>Net Profit Last Year</t>
  </si>
  <si>
    <t>Net Profit Preceding Year</t>
  </si>
  <si>
    <t>NPM Last Year</t>
  </si>
  <si>
    <t>NPM Preceding Year</t>
  </si>
  <si>
    <t>Mark 3</t>
  </si>
  <si>
    <t>Net Profit 1Q Ago </t>
  </si>
  <si>
    <t>Net Profit 2Q Ago </t>
  </si>
  <si>
    <t>Net Profit 3Q Ago </t>
  </si>
  <si>
    <t>Net Profit 4Q Ago </t>
  </si>
  <si>
    <t>Net Profit 5Q Ago </t>
  </si>
  <si>
    <t>Net Profit 6Q Ago </t>
  </si>
  <si>
    <t>Net Profit 7Q Ago </t>
  </si>
  <si>
    <t>Net Profit 8Q Ago </t>
  </si>
  <si>
    <t>Marks 4</t>
  </si>
  <si>
    <t>CFO Last Year</t>
  </si>
  <si>
    <t>CFO Preceding Year</t>
  </si>
  <si>
    <t>CFM Last Year</t>
  </si>
  <si>
    <t>CFM Preceding Year</t>
  </si>
  <si>
    <t>Mark 5</t>
  </si>
  <si>
    <t>Is CPO&gt; Net profit?</t>
  </si>
  <si>
    <t>Mark6</t>
  </si>
  <si>
    <t>Total Current Assets Last Year</t>
  </si>
  <si>
    <t>Total Current Liabilities Last Year</t>
  </si>
  <si>
    <t>Current Ratio Last Year</t>
  </si>
  <si>
    <t>Total Current Assets Preceding Year</t>
  </si>
  <si>
    <t>Total Current Liabilities Preceding Year</t>
  </si>
  <si>
    <t>Current Ratio Preceding Year</t>
  </si>
  <si>
    <t>Mark7</t>
  </si>
  <si>
    <t>LT Debt To Equity Last Year</t>
  </si>
  <si>
    <t>LT Debt To Equity Preceding Year</t>
  </si>
  <si>
    <t>Mark8</t>
  </si>
  <si>
    <t>Asset Turnover Last Year </t>
  </si>
  <si>
    <t>Asset Turnover Preceding Year</t>
  </si>
  <si>
    <t>Mark9</t>
  </si>
  <si>
    <t>OPM Last Year</t>
  </si>
  <si>
    <t>OPM Preceding Year</t>
  </si>
  <si>
    <t>Mark10</t>
  </si>
  <si>
    <t>Total Mark out of 10</t>
  </si>
  <si>
    <t>Bharti Airtel</t>
  </si>
  <si>
    <t>Vedanta</t>
  </si>
  <si>
    <t>IDBI Bank</t>
  </si>
  <si>
    <t>Varun Beverages</t>
  </si>
  <si>
    <t>Cipla</t>
  </si>
  <si>
    <t>GAIL (India)</t>
  </si>
  <si>
    <t>Waaree Energies</t>
  </si>
  <si>
    <t>Indus Towers</t>
  </si>
  <si>
    <t>Bharti Hexacom</t>
  </si>
  <si>
    <t>Ashok Leyland</t>
  </si>
  <si>
    <t>Torrent Power</t>
  </si>
  <si>
    <t>Sun Pharma.Inds.</t>
  </si>
  <si>
    <t>Bharat Electron</t>
  </si>
  <si>
    <t>Wipro</t>
  </si>
  <si>
    <t>TVS Motor Co.</t>
  </si>
  <si>
    <t>Tech Mahindra</t>
  </si>
  <si>
    <t>Bank of Baroda</t>
  </si>
  <si>
    <t>Solar Industries</t>
  </si>
  <si>
    <t>Torrent Pharma.</t>
  </si>
  <si>
    <t>Lodha Developers</t>
  </si>
  <si>
    <t>Mazagon Dock</t>
  </si>
  <si>
    <t>Hero Motocorp</t>
  </si>
  <si>
    <t>A B B</t>
  </si>
  <si>
    <t>Indian Hotels Co</t>
  </si>
  <si>
    <t>Vodafone Idea</t>
  </si>
  <si>
    <t>I O B</t>
  </si>
  <si>
    <t>FSN E-Commerce</t>
  </si>
  <si>
    <t>Suzlon Energy</t>
  </si>
  <si>
    <t>Vishal Mega Mart</t>
  </si>
  <si>
    <t>-</t>
  </si>
  <si>
    <t>ICICI Bank</t>
  </si>
  <si>
    <t>SBI</t>
  </si>
  <si>
    <t>Life Insurance</t>
  </si>
  <si>
    <t>NTPC</t>
  </si>
  <si>
    <t>Hind.Aeronautics</t>
  </si>
  <si>
    <t>Adani Ports</t>
  </si>
  <si>
    <t>DLF</t>
  </si>
  <si>
    <t>SBI Life Insuran</t>
  </si>
  <si>
    <t>Trent</t>
  </si>
  <si>
    <t>HDFC Life Insur.</t>
  </si>
  <si>
    <t>Pidilite Inds.</t>
  </si>
  <si>
    <t>Power Fin.Corpn.</t>
  </si>
  <si>
    <t>HDFC AMC</t>
  </si>
  <si>
    <t>Canara Bank</t>
  </si>
  <si>
    <t>Siemens</t>
  </si>
  <si>
    <t>Cummins India</t>
  </si>
  <si>
    <t>Indian Bank</t>
  </si>
  <si>
    <t>Union Bank (I)</t>
  </si>
  <si>
    <t>BSE</t>
  </si>
  <si>
    <t>ICICI Lombard</t>
  </si>
  <si>
    <t>Zydus Lifesci.</t>
  </si>
  <si>
    <t>United Spirits</t>
  </si>
  <si>
    <t>REC Ltd</t>
  </si>
  <si>
    <t>Persistent Systems</t>
  </si>
  <si>
    <t>Lupin</t>
  </si>
  <si>
    <t>B H E L</t>
  </si>
  <si>
    <t>Hitachi Energy</t>
  </si>
  <si>
    <t>GE Vernova T&amp;D</t>
  </si>
  <si>
    <t>PB Fintech.</t>
  </si>
  <si>
    <t>Yes Bank</t>
  </si>
  <si>
    <t>Godrej Propert.</t>
  </si>
  <si>
    <t>General Insuranc</t>
  </si>
  <si>
    <t>Oberoi Realty</t>
  </si>
  <si>
    <t>Bharat Forge</t>
  </si>
  <si>
    <t>AU Small Finance</t>
  </si>
  <si>
    <t>UPL</t>
  </si>
  <si>
    <t>Bank of India</t>
  </si>
  <si>
    <t>Max Financial</t>
  </si>
  <si>
    <t>TCS</t>
  </si>
  <si>
    <t>Infosys</t>
  </si>
  <si>
    <t>Maruti Suzuki</t>
  </si>
  <si>
    <t>M &amp; M</t>
  </si>
  <si>
    <t>Axis Bank</t>
  </si>
  <si>
    <t>Eternal Ltd</t>
  </si>
  <si>
    <t>Adani Power</t>
  </si>
  <si>
    <t>Hindustan Zinc</t>
  </si>
  <si>
    <t>Hyundai Motor I</t>
  </si>
  <si>
    <t>I R F C</t>
  </si>
  <si>
    <t>Punjab Natl.Bank</t>
  </si>
  <si>
    <t>Godrej Consumer</t>
  </si>
  <si>
    <t>Apollo Hospitals</t>
  </si>
  <si>
    <t>LG Electronics</t>
  </si>
  <si>
    <t>Polycab India</t>
  </si>
  <si>
    <t>Adani Energy Sol</t>
  </si>
  <si>
    <t>Samvardh. Mothe.</t>
  </si>
  <si>
    <t>Dixon Technolog.</t>
  </si>
  <si>
    <t>SRF</t>
  </si>
  <si>
    <t>Havells India</t>
  </si>
  <si>
    <t>Bajaj Housing</t>
  </si>
  <si>
    <t>ICICI Pru Life</t>
  </si>
  <si>
    <t>NTPC Green Ene.</t>
  </si>
  <si>
    <t>Oracle Fin.Serv.</t>
  </si>
  <si>
    <t>Alkem Lab</t>
  </si>
  <si>
    <t>L&amp;T Finance Ltd</t>
  </si>
  <si>
    <t>Aurobindo Pharma</t>
  </si>
  <si>
    <t>Abbott India</t>
  </si>
  <si>
    <t>Colgate-Palmoliv</t>
  </si>
  <si>
    <t>JSW Infrast</t>
  </si>
  <si>
    <t>S A I L</t>
  </si>
  <si>
    <t>Glenmark Pharma.</t>
  </si>
  <si>
    <t>Linde India</t>
  </si>
  <si>
    <t>Mphasis</t>
  </si>
  <si>
    <t>HDFC Bank</t>
  </si>
  <si>
    <t>Larsen &amp; Toubro</t>
  </si>
  <si>
    <t>ITC</t>
  </si>
  <si>
    <t>HCL Technologies</t>
  </si>
  <si>
    <t>Coal India</t>
  </si>
  <si>
    <t>Interglobe Aviat</t>
  </si>
  <si>
    <t>Tata Steel</t>
  </si>
  <si>
    <t>Eicher Motors</t>
  </si>
  <si>
    <t>Adani Green</t>
  </si>
  <si>
    <t>Tata Motors</t>
  </si>
  <si>
    <t>Muthoot Finance</t>
  </si>
  <si>
    <t>Shriram Finance</t>
  </si>
  <si>
    <t>Bosch</t>
  </si>
  <si>
    <t>Shree Cement</t>
  </si>
  <si>
    <t>Marico</t>
  </si>
  <si>
    <t>Dabur India</t>
  </si>
  <si>
    <t>Aditya Birla Cap</t>
  </si>
  <si>
    <t>Lloyds Metals</t>
  </si>
  <si>
    <t>Oil India</t>
  </si>
  <si>
    <t>MRF</t>
  </si>
  <si>
    <t>Tube Investments</t>
  </si>
  <si>
    <t>Motil.Oswal.Fin.</t>
  </si>
  <si>
    <t>IDFC First Bank</t>
  </si>
  <si>
    <t>Nippon Life Ind.</t>
  </si>
  <si>
    <t>Tata Comm</t>
  </si>
  <si>
    <t>Federal Bank</t>
  </si>
  <si>
    <t>Reliance Industr</t>
  </si>
  <si>
    <t>Bajaj Finance</t>
  </si>
  <si>
    <t>Kotak Mah. Bank</t>
  </si>
  <si>
    <t>Adani Enterp.</t>
  </si>
  <si>
    <t>JSW Steel</t>
  </si>
  <si>
    <t>Power Grid Corpn</t>
  </si>
  <si>
    <t>Britannia Inds.</t>
  </si>
  <si>
    <t>B P C L</t>
  </si>
  <si>
    <t>Ambuja Cements</t>
  </si>
  <si>
    <t>Tata Power Co.</t>
  </si>
  <si>
    <t>Tata Consumer</t>
  </si>
  <si>
    <t>Swiggy</t>
  </si>
  <si>
    <t>Dr Reddy's Labs</t>
  </si>
  <si>
    <t>H P C L</t>
  </si>
  <si>
    <t>GMR Airports</t>
  </si>
  <si>
    <t>Prestige Estates</t>
  </si>
  <si>
    <t>Uno Minda</t>
  </si>
  <si>
    <t>NMDC</t>
  </si>
  <si>
    <t>Berger Paints</t>
  </si>
  <si>
    <t>Phoenix Mills</t>
  </si>
  <si>
    <t>Coforge</t>
  </si>
  <si>
    <t>I R C T C</t>
  </si>
  <si>
    <t>P I Industries</t>
  </si>
  <si>
    <t>Kalyan Jewellers</t>
  </si>
  <si>
    <t>Hind. Unilever</t>
  </si>
  <si>
    <t>Bajaj Finserv</t>
  </si>
  <si>
    <t>O N G C</t>
  </si>
  <si>
    <t>Avenue Super.</t>
  </si>
  <si>
    <t>Bajaj Auto</t>
  </si>
  <si>
    <t>Asian Paints</t>
  </si>
  <si>
    <t>I O C L</t>
  </si>
  <si>
    <t>Jio Financial</t>
  </si>
  <si>
    <t>LTIMindtree</t>
  </si>
  <si>
    <t>Bajaj Holdings</t>
  </si>
  <si>
    <t>Tata Capital</t>
  </si>
  <si>
    <t>Cholaman.Inv.&amp;Fn</t>
  </si>
  <si>
    <t>CG Power &amp; Ind</t>
  </si>
  <si>
    <t>Max Healthcare</t>
  </si>
  <si>
    <t>Jindal Steel</t>
  </si>
  <si>
    <t>JSW Energy</t>
  </si>
  <si>
    <t>NHPC Ltd</t>
  </si>
  <si>
    <t>Info Edg.(India)</t>
  </si>
  <si>
    <t>One 97</t>
  </si>
  <si>
    <t>Rail Vikas</t>
  </si>
  <si>
    <t>Adani Total Gas</t>
  </si>
  <si>
    <t>Jindal Stain.</t>
  </si>
  <si>
    <t>Coromandel Inter</t>
  </si>
  <si>
    <t>Schaeffler India</t>
  </si>
  <si>
    <t>HDB FINANC SER</t>
  </si>
  <si>
    <t>IndusInd Bank</t>
  </si>
  <si>
    <t>F A C T</t>
  </si>
  <si>
    <t>Bharat Dynamics</t>
  </si>
  <si>
    <t>UltraTech Cem.</t>
  </si>
  <si>
    <t>Titan Company</t>
  </si>
  <si>
    <t>Nestle India</t>
  </si>
  <si>
    <t>Mankind Pharma</t>
  </si>
  <si>
    <t>SBI Cards</t>
  </si>
  <si>
    <t>Grasim 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</si>
</sst>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0"/>
      <color rgb="FF202020"/>
      <name val="Arial"/>
      <family val="2"/>
    </font>
    <font>
      <b/>
      <sz val="10"/>
      <name val="Aptos Narrow"/>
      <family val="2"/>
      <scheme val="minor"/>
    </font>
    <font>
      <sz val="12"/>
      <name val="Times New Roman"/>
      <family val="1"/>
    </font>
    <font>
      <sz val="10"/>
      <color rgb="FF373A3C"/>
      <name val="Arial"/>
      <family val="2"/>
    </font>
    <font>
      <sz val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22222F"/>
      <name val="Times New Roman"/>
      <family val="1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2" fontId="6" fillId="0" borderId="0" xfId="0" applyNumberFormat="1" applyFont="1"/>
    <xf numFmtId="0" fontId="6" fillId="3" borderId="0" xfId="0" applyFont="1" applyFill="1"/>
    <xf numFmtId="2" fontId="0" fillId="0" borderId="0" xfId="0" applyNumberFormat="1"/>
    <xf numFmtId="0" fontId="6" fillId="2" borderId="0" xfId="0" applyFont="1" applyFill="1"/>
    <xf numFmtId="0" fontId="9" fillId="2" borderId="0" xfId="0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472D-FF5B-4A5C-A6E2-4E9A4C22FA7C}">
  <dimension ref="A1:AU186"/>
  <sheetViews>
    <sheetView tabSelected="1" workbookViewId="0">
      <selection activeCell="B21" sqref="B21"/>
    </sheetView>
  </sheetViews>
  <sheetFormatPr defaultRowHeight="14.4" x14ac:dyDescent="0.3"/>
  <cols>
    <col min="1" max="1" width="8.88671875" style="21"/>
    <col min="2" max="2" width="20.33203125" style="21" customWidth="1"/>
    <col min="3" max="3" width="21.77734375" style="30" customWidth="1"/>
    <col min="4" max="4" width="12.88671875" style="21" customWidth="1"/>
    <col min="5" max="5" width="13.21875" style="21" customWidth="1"/>
    <col min="6" max="6" width="11.21875" style="31" customWidth="1"/>
    <col min="7" max="7" width="13.5546875" style="21" customWidth="1"/>
    <col min="8" max="8" width="16.88671875" style="21" customWidth="1"/>
    <col min="9" max="9" width="13.5546875" style="31" customWidth="1"/>
    <col min="10" max="10" width="25.33203125" style="21" customWidth="1"/>
    <col min="11" max="11" width="30.5546875" style="21" customWidth="1"/>
    <col min="12" max="12" width="21.6640625" style="21" customWidth="1"/>
    <col min="13" max="13" width="25.33203125" style="21" customWidth="1"/>
    <col min="14" max="14" width="19.33203125" style="31" customWidth="1"/>
    <col min="15" max="15" width="15.77734375" style="32" customWidth="1"/>
    <col min="16" max="16" width="18.109375" style="32" customWidth="1"/>
    <col min="17" max="17" width="17.44140625" style="32" customWidth="1"/>
    <col min="18" max="18" width="18.6640625" style="32" customWidth="1"/>
    <col min="19" max="19" width="20.5546875" style="32" customWidth="1"/>
    <col min="20" max="20" width="21.77734375" style="32" customWidth="1"/>
    <col min="21" max="21" width="20.6640625" style="32" customWidth="1"/>
    <col min="22" max="22" width="23.109375" style="32" customWidth="1"/>
    <col min="23" max="23" width="19.33203125" style="31" customWidth="1"/>
    <col min="24" max="24" width="23.21875" style="21" customWidth="1"/>
    <col min="25" max="25" width="24.77734375" style="21" customWidth="1"/>
    <col min="26" max="26" width="21.6640625" style="21" customWidth="1"/>
    <col min="27" max="27" width="24.5546875" style="21" customWidth="1"/>
    <col min="28" max="28" width="20.6640625" style="31" customWidth="1"/>
    <col min="29" max="29" width="23.88671875" style="33" customWidth="1"/>
    <col min="30" max="30" width="20.6640625" style="31" customWidth="1"/>
    <col min="31" max="31" width="36.33203125" style="34" customWidth="1"/>
    <col min="32" max="32" width="36.44140625" style="34" customWidth="1"/>
    <col min="33" max="33" width="35.33203125" style="35" customWidth="1"/>
    <col min="34" max="34" width="38.88671875" style="34" customWidth="1"/>
    <col min="35" max="35" width="42.21875" style="34" customWidth="1"/>
    <col min="36" max="36" width="40" style="35" customWidth="1"/>
    <col min="37" max="37" width="17.88671875" style="36" customWidth="1"/>
    <col min="38" max="38" width="33" style="34" customWidth="1"/>
    <col min="39" max="39" width="37.77734375" style="34" customWidth="1"/>
    <col min="40" max="40" width="21.77734375" style="36" customWidth="1"/>
    <col min="41" max="41" width="30.5546875" style="34" customWidth="1"/>
    <col min="42" max="42" width="32" style="34" customWidth="1"/>
    <col min="43" max="43" width="19.33203125" style="36" customWidth="1"/>
    <col min="44" max="44" width="18.21875" style="34" customWidth="1"/>
    <col min="45" max="45" width="22.88671875" style="34" customWidth="1"/>
    <col min="46" max="46" width="8.88671875" style="31"/>
    <col min="47" max="47" width="21" style="37" customWidth="1"/>
    <col min="48" max="16384" width="8.88671875" style="21"/>
  </cols>
  <sheetData>
    <row r="1" spans="1:47" s="10" customFormat="1" ht="26.4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  <c r="AC1" s="2" t="s">
        <v>28</v>
      </c>
      <c r="AD1" s="4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6" t="s">
        <v>34</v>
      </c>
      <c r="AJ1" s="7" t="s">
        <v>35</v>
      </c>
      <c r="AK1" s="8" t="s">
        <v>36</v>
      </c>
      <c r="AL1" s="6" t="s">
        <v>37</v>
      </c>
      <c r="AM1" s="6" t="s">
        <v>38</v>
      </c>
      <c r="AN1" s="8" t="s">
        <v>39</v>
      </c>
      <c r="AO1" s="6" t="s">
        <v>40</v>
      </c>
      <c r="AP1" s="6" t="s">
        <v>41</v>
      </c>
      <c r="AQ1" s="8" t="s">
        <v>42</v>
      </c>
      <c r="AR1" s="6" t="s">
        <v>43</v>
      </c>
      <c r="AS1" s="6" t="s">
        <v>44</v>
      </c>
      <c r="AT1" s="4" t="s">
        <v>45</v>
      </c>
      <c r="AU1" s="9" t="s">
        <v>46</v>
      </c>
    </row>
    <row r="2" spans="1:47" ht="15.6" x14ac:dyDescent="0.3">
      <c r="A2" s="11">
        <v>1</v>
      </c>
      <c r="B2" s="12" t="s">
        <v>47</v>
      </c>
      <c r="C2" s="13">
        <v>1207415.02</v>
      </c>
      <c r="D2" s="12">
        <v>40.9</v>
      </c>
      <c r="E2" s="12">
        <v>55.03</v>
      </c>
      <c r="F2" s="14">
        <f>IF(OR(D2&gt;=E2,D2=0),0,1)</f>
        <v>1</v>
      </c>
      <c r="G2" s="12">
        <v>10.09</v>
      </c>
      <c r="H2" s="12">
        <v>0.49</v>
      </c>
      <c r="I2" s="14">
        <f>IF(AND(H2&lt;=1,H2&gt;0),1,0)</f>
        <v>1</v>
      </c>
      <c r="J2" s="12">
        <v>37481.300000000003</v>
      </c>
      <c r="K2" s="12">
        <v>8558</v>
      </c>
      <c r="L2" s="12">
        <v>14.64</v>
      </c>
      <c r="M2" s="12">
        <v>9</v>
      </c>
      <c r="N2" s="14">
        <f>IF(AND(J2&gt;K2,L2&gt;=M2),1,0)</f>
        <v>1</v>
      </c>
      <c r="O2" s="15">
        <v>11021.8</v>
      </c>
      <c r="P2" s="15">
        <v>14781.2</v>
      </c>
      <c r="Q2" s="15">
        <v>3593.2</v>
      </c>
      <c r="R2" s="15">
        <v>4159.8999999999996</v>
      </c>
      <c r="S2" s="15">
        <v>2071.6</v>
      </c>
      <c r="T2" s="15">
        <v>2442.1999999999998</v>
      </c>
      <c r="U2" s="15">
        <v>1340.7</v>
      </c>
      <c r="V2" s="15">
        <v>1612.5</v>
      </c>
      <c r="W2" s="14">
        <f>IF(AND(O2&gt;S2,P2&gt;T2,Q2&gt;U2,R2&gt;V2),1,0)</f>
        <v>1</v>
      </c>
      <c r="X2" s="12">
        <v>98332.2</v>
      </c>
      <c r="Y2" s="12">
        <v>78898.2</v>
      </c>
      <c r="Z2" s="12">
        <v>53.46</v>
      </c>
      <c r="AA2" s="12">
        <v>52.6</v>
      </c>
      <c r="AB2" s="14">
        <f>IF(AND(X2&gt;Y2,Z2&gt;=AA2,X2&gt;0),1,0)</f>
        <v>1</v>
      </c>
      <c r="AC2" s="12" t="str">
        <f>IF(X2&gt;J2,"Yes","No")</f>
        <v>Yes</v>
      </c>
      <c r="AD2" s="14">
        <f>IF(X2&gt;J2,1,0)</f>
        <v>1</v>
      </c>
      <c r="AE2" s="16">
        <v>67588.800000000003</v>
      </c>
      <c r="AF2" s="16">
        <v>180440.2</v>
      </c>
      <c r="AG2" s="17">
        <f>AE2/AF2</f>
        <v>0.37457728377601002</v>
      </c>
      <c r="AH2" s="16">
        <v>58276.1</v>
      </c>
      <c r="AI2" s="16">
        <v>138667.79999999999</v>
      </c>
      <c r="AJ2" s="17">
        <f>AH2/AI2</f>
        <v>0.42025690174647612</v>
      </c>
      <c r="AK2" s="18">
        <f>IF(AG2&gt;=AJ2,1,0)</f>
        <v>0</v>
      </c>
      <c r="AL2" s="19">
        <v>0.8</v>
      </c>
      <c r="AM2" s="19">
        <v>1.3</v>
      </c>
      <c r="AN2" s="18">
        <f>IF(AL2&lt;=AM2,1,0)</f>
        <v>1</v>
      </c>
      <c r="AO2" s="19">
        <v>0.36</v>
      </c>
      <c r="AP2" s="19">
        <v>0.34</v>
      </c>
      <c r="AQ2" s="18">
        <f>IF(AO2&gt;AP2,1,0)</f>
        <v>1</v>
      </c>
      <c r="AR2" s="19">
        <v>53.37</v>
      </c>
      <c r="AS2" s="19">
        <v>51.71</v>
      </c>
      <c r="AT2" s="14">
        <f>IF(AR2&gt;=AS2,1,0)</f>
        <v>1</v>
      </c>
      <c r="AU2" s="20">
        <f>SUM(I2,N2,AB2,AD2,AK2,AN2,AQ2,AT2,F2,W2)</f>
        <v>9</v>
      </c>
    </row>
    <row r="3" spans="1:47" ht="15.6" x14ac:dyDescent="0.3">
      <c r="A3" s="11">
        <v>2</v>
      </c>
      <c r="B3" s="22" t="s">
        <v>48</v>
      </c>
      <c r="C3" s="23">
        <v>185371.95</v>
      </c>
      <c r="D3" s="24">
        <v>13.73</v>
      </c>
      <c r="E3" s="24">
        <v>42.93</v>
      </c>
      <c r="F3" s="14">
        <f>IF(OR(D3&gt;=E3,D3=0),0,1)</f>
        <v>1</v>
      </c>
      <c r="G3" s="24">
        <v>4.5</v>
      </c>
      <c r="H3" s="24">
        <v>-1.33</v>
      </c>
      <c r="I3" s="14">
        <f>IF(AND(H3&lt;=1,H3&gt;0),1,0)</f>
        <v>0</v>
      </c>
      <c r="J3" s="24">
        <v>20535</v>
      </c>
      <c r="K3" s="24">
        <v>7539</v>
      </c>
      <c r="L3" s="24">
        <v>12.4</v>
      </c>
      <c r="M3" s="24">
        <v>4.55</v>
      </c>
      <c r="N3" s="14">
        <f>IF(AND(J3&gt;K3,L3&gt;=M3),1,0)</f>
        <v>1</v>
      </c>
      <c r="O3" s="15">
        <v>1362.2</v>
      </c>
      <c r="P3" s="15">
        <v>1170.5</v>
      </c>
      <c r="Q3" s="15">
        <v>1100.3</v>
      </c>
      <c r="R3" s="15">
        <v>1101.5</v>
      </c>
      <c r="S3" s="15">
        <v>1070.5</v>
      </c>
      <c r="T3" s="15">
        <v>996</v>
      </c>
      <c r="U3" s="15">
        <v>1016.3</v>
      </c>
      <c r="V3" s="15">
        <v>918.3</v>
      </c>
      <c r="W3" s="14">
        <f>IF(AND(O3&gt;S3,P3&gt;T3,Q3&gt;U3,R3&gt;V3),1,0)</f>
        <v>1</v>
      </c>
      <c r="X3" s="24">
        <v>39562</v>
      </c>
      <c r="Y3" s="24">
        <v>35654</v>
      </c>
      <c r="Z3" s="24">
        <v>25.52</v>
      </c>
      <c r="AA3" s="24">
        <v>24.81</v>
      </c>
      <c r="AB3" s="14">
        <f>IF(AND(X3&gt;Y3,Z3&gt;=AA3,X3&gt;0),1,0)</f>
        <v>1</v>
      </c>
      <c r="AC3" s="12" t="str">
        <f>IF(X3&gt;J3,"Yes","No")</f>
        <v>Yes</v>
      </c>
      <c r="AD3" s="14">
        <f>IF(X3&gt;J3,1,0)</f>
        <v>1</v>
      </c>
      <c r="AE3" s="25">
        <v>51765</v>
      </c>
      <c r="AF3" s="25">
        <v>73575</v>
      </c>
      <c r="AG3" s="17">
        <f>AE3/AF3</f>
        <v>0.70356778797145769</v>
      </c>
      <c r="AH3" s="25">
        <v>51924</v>
      </c>
      <c r="AI3" s="25">
        <v>78661</v>
      </c>
      <c r="AJ3" s="17">
        <f>AH3/AI3</f>
        <v>0.66009839691842209</v>
      </c>
      <c r="AK3" s="18">
        <f>IF(AG3&gt;=AJ3,1,0)</f>
        <v>1</v>
      </c>
      <c r="AL3" s="19">
        <v>1.28</v>
      </c>
      <c r="AM3" s="19">
        <v>1.65</v>
      </c>
      <c r="AN3" s="18">
        <f>IF(AL3&lt;=AM3,1,0)</f>
        <v>1</v>
      </c>
      <c r="AO3" s="19">
        <v>0.78</v>
      </c>
      <c r="AP3" s="19">
        <v>0.74</v>
      </c>
      <c r="AQ3" s="18">
        <f>IF(AO3&gt;AP3,1,0)</f>
        <v>1</v>
      </c>
      <c r="AR3" s="19">
        <v>27.03</v>
      </c>
      <c r="AS3" s="19">
        <v>24.06</v>
      </c>
      <c r="AT3" s="14">
        <f>IF(AR3&gt;=AS3,1,0)</f>
        <v>1</v>
      </c>
      <c r="AU3" s="20">
        <f>SUM(I3,N3,AB3,AD3,AK3,AN3,AQ3,AT3,F3,W3)</f>
        <v>9</v>
      </c>
    </row>
    <row r="4" spans="1:47" ht="15.6" x14ac:dyDescent="0.3">
      <c r="A4" s="11">
        <v>3</v>
      </c>
      <c r="B4" s="22" t="s">
        <v>49</v>
      </c>
      <c r="C4" s="23">
        <v>98621.03</v>
      </c>
      <c r="D4" s="24">
        <v>10.62</v>
      </c>
      <c r="E4" s="24">
        <v>12.63</v>
      </c>
      <c r="F4" s="14">
        <f>IF(OR(D4&gt;=E4,D4=0),0,1)</f>
        <v>1</v>
      </c>
      <c r="G4" s="24">
        <v>1.45</v>
      </c>
      <c r="H4" s="24">
        <v>0.24</v>
      </c>
      <c r="I4" s="14">
        <f>IF(AND(H4&lt;=1,H4&gt;0),1,0)</f>
        <v>1</v>
      </c>
      <c r="J4" s="24">
        <v>7656.32</v>
      </c>
      <c r="K4" s="24">
        <v>5814.1</v>
      </c>
      <c r="L4" s="24">
        <v>26.48</v>
      </c>
      <c r="M4" s="24">
        <v>21.67</v>
      </c>
      <c r="N4" s="14">
        <f>IF(AND(J4&gt;K4,L4&gt;=M4),1,0)</f>
        <v>1</v>
      </c>
      <c r="O4" s="15">
        <v>2019.2</v>
      </c>
      <c r="P4" s="15">
        <v>2087.5</v>
      </c>
      <c r="Q4" s="15">
        <v>1948.1</v>
      </c>
      <c r="R4" s="15">
        <v>1860.8</v>
      </c>
      <c r="S4" s="15">
        <v>1734.3</v>
      </c>
      <c r="T4" s="15">
        <v>1664.9</v>
      </c>
      <c r="U4" s="15">
        <v>1508.5</v>
      </c>
      <c r="V4" s="15">
        <v>1385.4</v>
      </c>
      <c r="W4" s="14">
        <f>IF(AND(O4&gt;S4,P4&gt;T4,Q4&gt;U4,R4&gt;V4),1,0)</f>
        <v>1</v>
      </c>
      <c r="X4" s="24">
        <v>25795.7</v>
      </c>
      <c r="Y4" s="24">
        <v>-1252.49</v>
      </c>
      <c r="Z4" s="24">
        <v>89.14</v>
      </c>
      <c r="AA4" s="24">
        <v>-4.74</v>
      </c>
      <c r="AB4" s="14">
        <f>IF(AND(X4&gt;Y4,Z4&gt;=AA4,X4&gt;0),1,0)</f>
        <v>1</v>
      </c>
      <c r="AC4" s="12" t="str">
        <f>IF(X4&gt;J4,"Yes","No")</f>
        <v>Yes</v>
      </c>
      <c r="AD4" s="14">
        <f>IF(X4&gt;J4,1,0)</f>
        <v>1</v>
      </c>
      <c r="AE4" s="26">
        <v>282309.09999999998</v>
      </c>
      <c r="AF4" s="27">
        <v>21270</v>
      </c>
      <c r="AG4" s="17">
        <f>AE4/AF4</f>
        <v>13.272642219087917</v>
      </c>
      <c r="AH4" s="26">
        <v>239010.6</v>
      </c>
      <c r="AI4" s="26">
        <v>18597.400000000001</v>
      </c>
      <c r="AJ4" s="17">
        <f>AH4/AI4</f>
        <v>12.851828750255411</v>
      </c>
      <c r="AK4" s="18">
        <f>IF(AG4&gt;=AJ4,1,0)</f>
        <v>1</v>
      </c>
      <c r="AL4" s="28">
        <v>0.39</v>
      </c>
      <c r="AM4" s="28">
        <v>0.4</v>
      </c>
      <c r="AN4" s="18">
        <f>IF(AL4&lt;=AM4,1,0)</f>
        <v>1</v>
      </c>
      <c r="AO4" s="28">
        <v>7.0000000000000007E-2</v>
      </c>
      <c r="AP4" s="28">
        <v>0.08</v>
      </c>
      <c r="AQ4" s="18">
        <f>IF(AO4&gt;AP4,1,0)</f>
        <v>0</v>
      </c>
      <c r="AR4" s="28">
        <v>32.83</v>
      </c>
      <c r="AS4" s="28">
        <v>32.18</v>
      </c>
      <c r="AT4" s="14">
        <f>IF(AR4&gt;=AS4,1,0)</f>
        <v>1</v>
      </c>
      <c r="AU4" s="20">
        <f>SUM(I4,N4,AB4,AD4,AK4,AN4,AQ4,AT4,F4,W4)</f>
        <v>9</v>
      </c>
    </row>
    <row r="5" spans="1:47" ht="15.6" x14ac:dyDescent="0.3">
      <c r="A5" s="11">
        <v>4</v>
      </c>
      <c r="B5" s="22" t="s">
        <v>50</v>
      </c>
      <c r="C5" s="23">
        <v>156095.69</v>
      </c>
      <c r="D5" s="24">
        <v>54.8</v>
      </c>
      <c r="E5" s="24">
        <v>88.26</v>
      </c>
      <c r="F5" s="14">
        <f>IF(OR(D5&gt;=E5,D5=0),0,1)</f>
        <v>1</v>
      </c>
      <c r="G5" s="24">
        <v>8.5</v>
      </c>
      <c r="H5" s="24">
        <v>0.99</v>
      </c>
      <c r="I5" s="14">
        <f>IF(AND(H5&lt;=1,H5&gt;0),1,0)</f>
        <v>1</v>
      </c>
      <c r="J5" s="24">
        <v>2634.28</v>
      </c>
      <c r="K5" s="24">
        <v>2101.81</v>
      </c>
      <c r="L5" s="24">
        <v>13.44</v>
      </c>
      <c r="M5" s="24">
        <v>13.5</v>
      </c>
      <c r="N5" s="14">
        <f>IF(AND(J5&gt;K5,L5&gt;=M5),1,0)</f>
        <v>0</v>
      </c>
      <c r="O5" s="15">
        <v>1317</v>
      </c>
      <c r="P5" s="15">
        <v>726.5</v>
      </c>
      <c r="Q5" s="15">
        <v>185.2</v>
      </c>
      <c r="R5" s="15">
        <v>619.6</v>
      </c>
      <c r="S5" s="15">
        <v>1252.5999999999999</v>
      </c>
      <c r="T5" s="15">
        <v>537.29999999999995</v>
      </c>
      <c r="U5" s="15">
        <v>132</v>
      </c>
      <c r="V5" s="15">
        <v>501.1</v>
      </c>
      <c r="W5" s="14">
        <f>IF(AND(O5&gt;S5,P5&gt;T5,Q5&gt;U5,R5&gt;V5),1,0)</f>
        <v>1</v>
      </c>
      <c r="X5" s="24">
        <v>3381.1</v>
      </c>
      <c r="Y5" s="24">
        <v>2390.7800000000002</v>
      </c>
      <c r="Z5" s="24">
        <v>16.04</v>
      </c>
      <c r="AA5" s="24">
        <v>14.9</v>
      </c>
      <c r="AB5" s="14">
        <f>IF(AND(X5&gt;Y5,Z5&gt;=AA5,X5&gt;0),1,0)</f>
        <v>1</v>
      </c>
      <c r="AC5" s="12" t="str">
        <f>IF(X5&gt;J5,"Yes","No")</f>
        <v>Yes</v>
      </c>
      <c r="AD5" s="14">
        <f>IF(X5&gt;J5,1,0)</f>
        <v>1</v>
      </c>
      <c r="AE5" s="25">
        <v>7864</v>
      </c>
      <c r="AF5" s="16">
        <v>4524.3999999999996</v>
      </c>
      <c r="AG5" s="17">
        <f>AE5/AF5</f>
        <v>1.738131022898064</v>
      </c>
      <c r="AH5" s="16">
        <v>4235.6000000000004</v>
      </c>
      <c r="AI5" s="16">
        <v>4153.2</v>
      </c>
      <c r="AJ5" s="17">
        <f>AH5/AI5</f>
        <v>1.019840123278436</v>
      </c>
      <c r="AK5" s="18">
        <f>IF(AG5&gt;=AJ5,1,0)</f>
        <v>1</v>
      </c>
      <c r="AL5" s="19">
        <v>0.05</v>
      </c>
      <c r="AM5" s="19">
        <v>0.46</v>
      </c>
      <c r="AN5" s="18">
        <f>IF(AL5&lt;=AM5,1,0)</f>
        <v>1</v>
      </c>
      <c r="AO5" s="19">
        <v>1.04</v>
      </c>
      <c r="AP5" s="19">
        <v>1.2</v>
      </c>
      <c r="AQ5" s="18">
        <f>IF(AO5&gt;AP5,1,0)</f>
        <v>0</v>
      </c>
      <c r="AR5" s="19">
        <v>23.4</v>
      </c>
      <c r="AS5" s="19">
        <v>22.39</v>
      </c>
      <c r="AT5" s="14">
        <f>IF(AR5&gt;=AS5,1,0)</f>
        <v>1</v>
      </c>
      <c r="AU5" s="20">
        <f>SUM(I5,N5,AB5,AD5,AK5,AN5,AQ5,AT5,F5,W5)</f>
        <v>8</v>
      </c>
    </row>
    <row r="6" spans="1:47" ht="15.6" x14ac:dyDescent="0.3">
      <c r="A6" s="11">
        <v>5</v>
      </c>
      <c r="B6" s="22" t="s">
        <v>51</v>
      </c>
      <c r="C6" s="23">
        <v>127433.12</v>
      </c>
      <c r="D6" s="24">
        <v>23.63</v>
      </c>
      <c r="E6" s="24">
        <v>32.840000000000003</v>
      </c>
      <c r="F6" s="14">
        <f>IF(OR(D6&gt;=E6,D6=0),0,1)</f>
        <v>1</v>
      </c>
      <c r="G6" s="24">
        <v>4.08</v>
      </c>
      <c r="H6" s="24">
        <v>0.91</v>
      </c>
      <c r="I6" s="14">
        <f>IF(AND(H6&lt;=1,H6&gt;0),1,0)</f>
        <v>1</v>
      </c>
      <c r="J6" s="24">
        <v>5269.2</v>
      </c>
      <c r="K6" s="24">
        <v>4153.72</v>
      </c>
      <c r="L6" s="24">
        <v>18.670000000000002</v>
      </c>
      <c r="M6" s="24">
        <v>16.45</v>
      </c>
      <c r="N6" s="14">
        <f>IF(AND(J6&gt;K6,L6&gt;=M6),1,0)</f>
        <v>1</v>
      </c>
      <c r="O6" s="15">
        <v>1297.5999999999999</v>
      </c>
      <c r="P6" s="15">
        <v>1221.8</v>
      </c>
      <c r="Q6" s="15">
        <v>1570.5</v>
      </c>
      <c r="R6" s="15">
        <v>1302.5</v>
      </c>
      <c r="S6" s="15">
        <v>1177.5999999999999</v>
      </c>
      <c r="T6" s="15">
        <v>939</v>
      </c>
      <c r="U6" s="15">
        <v>1055.9000000000001</v>
      </c>
      <c r="V6" s="15">
        <v>1130.9000000000001</v>
      </c>
      <c r="W6" s="14">
        <f>IF(AND(O6&gt;S6,P6&gt;T6,Q6&gt;U6,R6&gt;V6),1,0)</f>
        <v>1</v>
      </c>
      <c r="X6" s="24">
        <v>5004.9799999999996</v>
      </c>
      <c r="Y6" s="24">
        <v>4133.91</v>
      </c>
      <c r="Z6" s="24">
        <v>18</v>
      </c>
      <c r="AA6" s="24">
        <v>16.04</v>
      </c>
      <c r="AB6" s="14">
        <f>IF(AND(X6&gt;Y6,Z6&gt;=AA6,X6&gt;0),1,0)</f>
        <v>1</v>
      </c>
      <c r="AC6" s="12" t="str">
        <f>IF(X6&gt;J6,"Yes","No")</f>
        <v>No</v>
      </c>
      <c r="AD6" s="14">
        <f>IF(X6&gt;J6,1,0)</f>
        <v>0</v>
      </c>
      <c r="AE6" s="16">
        <v>23288.5</v>
      </c>
      <c r="AF6" s="25">
        <v>5484</v>
      </c>
      <c r="AG6" s="17">
        <f>AE6/AF6</f>
        <v>4.2466265499635298</v>
      </c>
      <c r="AH6" s="16">
        <v>19441.400000000001</v>
      </c>
      <c r="AI6" s="16">
        <v>5245.8</v>
      </c>
      <c r="AJ6" s="17">
        <f>AH6/AI6</f>
        <v>3.7060886804681843</v>
      </c>
      <c r="AK6" s="18">
        <f>IF(AG6&gt;=AJ6,1,0)</f>
        <v>1</v>
      </c>
      <c r="AL6" s="19">
        <v>0</v>
      </c>
      <c r="AM6" s="19">
        <v>0</v>
      </c>
      <c r="AN6" s="18">
        <f>IF(AL6&lt;=AM6,1,0)</f>
        <v>1</v>
      </c>
      <c r="AO6" s="19">
        <v>0.79</v>
      </c>
      <c r="AP6" s="19">
        <v>0.83</v>
      </c>
      <c r="AQ6" s="18">
        <f>IF(AO6&gt;AP6,1,0)</f>
        <v>0</v>
      </c>
      <c r="AR6" s="19">
        <v>25.09</v>
      </c>
      <c r="AS6" s="19">
        <v>23.72</v>
      </c>
      <c r="AT6" s="14">
        <f>IF(AR6&gt;=AS6,1,0)</f>
        <v>1</v>
      </c>
      <c r="AU6" s="20">
        <f>SUM(I6,N6,AB6,AD6,AK6,AN6,AQ6,AT6,F6,W6)</f>
        <v>8</v>
      </c>
    </row>
    <row r="7" spans="1:47" ht="15.6" x14ac:dyDescent="0.3">
      <c r="A7" s="11">
        <v>6</v>
      </c>
      <c r="B7" s="22" t="s">
        <v>52</v>
      </c>
      <c r="C7" s="23">
        <v>116773.77</v>
      </c>
      <c r="D7" s="24">
        <v>11.98</v>
      </c>
      <c r="E7" s="24">
        <v>14.46</v>
      </c>
      <c r="F7" s="14">
        <f>IF(OR(D7&gt;=E7,D7=0),0,1)</f>
        <v>1</v>
      </c>
      <c r="G7" s="24">
        <v>1.37</v>
      </c>
      <c r="H7" s="24">
        <v>-2.5499999999999998</v>
      </c>
      <c r="I7" s="14">
        <f>IF(AND(H7&lt;=1,H7&gt;0),1,0)</f>
        <v>0</v>
      </c>
      <c r="J7" s="24">
        <v>12462.87</v>
      </c>
      <c r="K7" s="24">
        <v>9902.81</v>
      </c>
      <c r="L7" s="24">
        <v>7.48</v>
      </c>
      <c r="M7" s="24">
        <v>7.45</v>
      </c>
      <c r="N7" s="14">
        <f>IF(AND(J7&gt;K7,L7&gt;=M7),1,0)</f>
        <v>1</v>
      </c>
      <c r="O7" s="15">
        <v>2491.8000000000002</v>
      </c>
      <c r="P7" s="15">
        <v>4081.6</v>
      </c>
      <c r="Q7" s="15">
        <v>2693.6</v>
      </c>
      <c r="R7" s="15">
        <v>3182.9</v>
      </c>
      <c r="S7" s="15">
        <v>2468.6999999999998</v>
      </c>
      <c r="T7" s="15">
        <v>3194.6</v>
      </c>
      <c r="U7" s="15">
        <v>2444.1</v>
      </c>
      <c r="V7" s="15">
        <v>1791.9</v>
      </c>
      <c r="W7" s="14">
        <f>IF(AND(O7&gt;S7,P7&gt;T7,Q7&gt;U7,R7&gt;V7),1,0)</f>
        <v>1</v>
      </c>
      <c r="X7" s="24">
        <v>15735.04</v>
      </c>
      <c r="Y7" s="24">
        <v>12585.72</v>
      </c>
      <c r="Z7" s="24">
        <v>11.04</v>
      </c>
      <c r="AA7" s="24">
        <v>9.4499999999999993</v>
      </c>
      <c r="AB7" s="14">
        <f>IF(AND(X7&gt;Y7,Z7&gt;=AA7,X7&gt;0),1,0)</f>
        <v>1</v>
      </c>
      <c r="AC7" s="12" t="str">
        <f>IF(X7&gt;J7,"Yes","No")</f>
        <v>Yes</v>
      </c>
      <c r="AD7" s="14">
        <f>IF(X7&gt;J7,1,0)</f>
        <v>1</v>
      </c>
      <c r="AE7" s="16">
        <v>21501.7</v>
      </c>
      <c r="AF7" s="16">
        <v>21899.5</v>
      </c>
      <c r="AG7" s="17">
        <f>AE7/AF7</f>
        <v>0.98183520171693417</v>
      </c>
      <c r="AH7" s="16">
        <v>20271.8</v>
      </c>
      <c r="AI7" s="16">
        <v>21640.5</v>
      </c>
      <c r="AJ7" s="17">
        <f>AH7/AI7</f>
        <v>0.93675284766987821</v>
      </c>
      <c r="AK7" s="18">
        <f>IF(AG7&gt;=AJ7,1,0)</f>
        <v>1</v>
      </c>
      <c r="AL7" s="19">
        <v>0.13</v>
      </c>
      <c r="AM7" s="19">
        <v>0.17</v>
      </c>
      <c r="AN7" s="18">
        <f>IF(AL7&lt;=AM7,1,0)</f>
        <v>1</v>
      </c>
      <c r="AO7" s="19">
        <v>1.1000000000000001</v>
      </c>
      <c r="AP7" s="19">
        <v>1.1499999999999999</v>
      </c>
      <c r="AQ7" s="18">
        <f>IF(AO7&gt;AP7,1,0)</f>
        <v>0</v>
      </c>
      <c r="AR7" s="19">
        <v>10.78</v>
      </c>
      <c r="AS7" s="19">
        <v>10.65</v>
      </c>
      <c r="AT7" s="14">
        <f>IF(AR7&gt;=AS7,1,0)</f>
        <v>1</v>
      </c>
      <c r="AU7" s="20">
        <f>SUM(I7,N7,AB7,AD7,AK7,AN7,AQ7,AT7,F7,W7)</f>
        <v>8</v>
      </c>
    </row>
    <row r="8" spans="1:47" ht="15.6" x14ac:dyDescent="0.3">
      <c r="A8" s="11">
        <v>7</v>
      </c>
      <c r="B8" s="22" t="s">
        <v>53</v>
      </c>
      <c r="C8" s="23">
        <v>101689.69</v>
      </c>
      <c r="D8" s="24">
        <v>37.630000000000003</v>
      </c>
      <c r="E8" s="24">
        <v>38.130000000000003</v>
      </c>
      <c r="F8" s="14">
        <f>IF(OR(D8&gt;=E8,D8=0),0,1)</f>
        <v>1</v>
      </c>
      <c r="G8" s="24">
        <v>8.85</v>
      </c>
      <c r="H8" s="24">
        <v>0.2</v>
      </c>
      <c r="I8" s="14">
        <f>IF(AND(H8&lt;=1,H8&gt;0),1,0)</f>
        <v>1</v>
      </c>
      <c r="J8" s="24">
        <v>1928.13</v>
      </c>
      <c r="K8" s="24">
        <v>1274.3800000000001</v>
      </c>
      <c r="L8" s="24">
        <v>13.3</v>
      </c>
      <c r="M8" s="24">
        <v>8.93</v>
      </c>
      <c r="N8" s="14">
        <f>IF(AND(J8&gt;K8,L8&gt;=M8),1,0)</f>
        <v>1</v>
      </c>
      <c r="O8" s="15">
        <v>745.2</v>
      </c>
      <c r="P8" s="15">
        <v>618.9</v>
      </c>
      <c r="Q8" s="15">
        <v>492.7</v>
      </c>
      <c r="R8" s="15">
        <v>361.7</v>
      </c>
      <c r="S8" s="15">
        <v>394.1</v>
      </c>
      <c r="T8" s="15">
        <v>461.5</v>
      </c>
      <c r="U8" s="15">
        <v>124.5</v>
      </c>
      <c r="V8" s="15">
        <v>315.10000000000002</v>
      </c>
      <c r="W8" s="14">
        <f>IF(AND(O8&gt;S8,P8&gt;T8,Q8&gt;U8,R8&gt;V8),1,0)</f>
        <v>1</v>
      </c>
      <c r="X8" s="24">
        <v>3158.21</v>
      </c>
      <c r="Y8" s="24">
        <v>2305.04</v>
      </c>
      <c r="Z8" s="24">
        <v>17.59</v>
      </c>
      <c r="AA8" s="24">
        <v>20.22</v>
      </c>
      <c r="AB8" s="14">
        <f>IF(AND(X8&gt;Y8,Z8&gt;=AA8,X8&gt;0),1,0)</f>
        <v>0</v>
      </c>
      <c r="AC8" s="12" t="str">
        <f>IF(X8&gt;J8,"Yes","No")</f>
        <v>Yes</v>
      </c>
      <c r="AD8" s="14">
        <f>IF(X8&gt;J8,1,0)</f>
        <v>1</v>
      </c>
      <c r="AE8" s="26">
        <v>13156.8</v>
      </c>
      <c r="AF8" s="26">
        <v>8786.1</v>
      </c>
      <c r="AG8" s="17">
        <f>AE8/AF8</f>
        <v>1.4974562092395942</v>
      </c>
      <c r="AH8" s="26">
        <v>8013.1</v>
      </c>
      <c r="AI8" s="26">
        <v>5423.1</v>
      </c>
      <c r="AJ8" s="17">
        <f>AH8/AI8</f>
        <v>1.4775866201987793</v>
      </c>
      <c r="AK8" s="18">
        <f>IF(AG8&gt;=AJ8,1,0)</f>
        <v>1</v>
      </c>
      <c r="AL8" s="28">
        <v>0</v>
      </c>
      <c r="AM8" s="28">
        <v>0.02</v>
      </c>
      <c r="AN8" s="18">
        <f>IF(AL8&lt;=AM8,1,0)</f>
        <v>1</v>
      </c>
      <c r="AO8" s="28">
        <v>0.93</v>
      </c>
      <c r="AP8" s="28">
        <v>1.22</v>
      </c>
      <c r="AQ8" s="18">
        <f>IF(AO8&gt;AP8,1,0)</f>
        <v>0</v>
      </c>
      <c r="AR8" s="28">
        <v>18.329999999999998</v>
      </c>
      <c r="AS8" s="28">
        <v>13.53</v>
      </c>
      <c r="AT8" s="14">
        <f>IF(AR8&gt;=AS8,1,0)</f>
        <v>1</v>
      </c>
      <c r="AU8" s="20">
        <f>SUM(I8,N8,AB8,AD8,AK8,AN8,AQ8,AT8,F8,W8)</f>
        <v>8</v>
      </c>
    </row>
    <row r="9" spans="1:47" ht="15.6" x14ac:dyDescent="0.3">
      <c r="A9" s="11">
        <v>8</v>
      </c>
      <c r="B9" s="22" t="s">
        <v>54</v>
      </c>
      <c r="C9" s="23">
        <v>92436.34</v>
      </c>
      <c r="D9" s="24">
        <v>9.49</v>
      </c>
      <c r="E9" s="24">
        <v>18.86</v>
      </c>
      <c r="F9" s="14">
        <f>IF(OR(D9&gt;=E9,D9=0),0,1)</f>
        <v>1</v>
      </c>
      <c r="G9" s="24">
        <v>2.84</v>
      </c>
      <c r="H9" s="24">
        <v>0.59</v>
      </c>
      <c r="I9" s="14">
        <f>IF(AND(H9&lt;=1,H9&gt;0),1,0)</f>
        <v>1</v>
      </c>
      <c r="J9" s="24">
        <v>9931.7000000000007</v>
      </c>
      <c r="K9" s="24">
        <v>6036.2</v>
      </c>
      <c r="L9" s="24">
        <v>32.119999999999997</v>
      </c>
      <c r="M9" s="24">
        <v>20.37</v>
      </c>
      <c r="N9" s="14">
        <f>IF(AND(J9&gt;K9,L9&gt;=M9),1,0)</f>
        <v>1</v>
      </c>
      <c r="O9" s="15">
        <v>1736.8</v>
      </c>
      <c r="P9" s="15">
        <v>1779.1</v>
      </c>
      <c r="Q9" s="15">
        <v>4003.2</v>
      </c>
      <c r="R9" s="15">
        <v>2223.5</v>
      </c>
      <c r="S9" s="15">
        <v>1925.9</v>
      </c>
      <c r="T9" s="15">
        <v>1853.1</v>
      </c>
      <c r="U9" s="15">
        <v>1540.5</v>
      </c>
      <c r="V9" s="15">
        <v>1294.7</v>
      </c>
      <c r="W9" s="14">
        <f>IF(AND(O9&gt;S9,P9&gt;T9,Q9&gt;U9,R9&gt;V9),1,0)</f>
        <v>0</v>
      </c>
      <c r="X9" s="24">
        <v>19645</v>
      </c>
      <c r="Y9" s="24">
        <v>11582.1</v>
      </c>
      <c r="Z9" s="24">
        <v>63.79</v>
      </c>
      <c r="AA9" s="24">
        <v>40.5</v>
      </c>
      <c r="AB9" s="14">
        <f>IF(AND(X9&gt;Y9,Z9&gt;=AA9,X9&gt;0),1,0)</f>
        <v>1</v>
      </c>
      <c r="AC9" s="12" t="str">
        <f>IF(X9&gt;J9,"Yes","No")</f>
        <v>Yes</v>
      </c>
      <c r="AD9" s="14">
        <f>IF(X9&gt;J9,1,0)</f>
        <v>1</v>
      </c>
      <c r="AE9" s="26">
        <v>12929.8</v>
      </c>
      <c r="AF9" s="26">
        <v>9786.7999999999993</v>
      </c>
      <c r="AG9" s="17">
        <f>AE9/AF9</f>
        <v>1.3211468508603426</v>
      </c>
      <c r="AH9" s="27">
        <v>10490</v>
      </c>
      <c r="AI9" s="26">
        <v>10156.5</v>
      </c>
      <c r="AJ9" s="17">
        <f>AH9/AI9</f>
        <v>1.0328361148033278</v>
      </c>
      <c r="AK9" s="18">
        <f>IF(AG9&gt;=AJ9,1,0)</f>
        <v>1</v>
      </c>
      <c r="AL9" s="28">
        <v>0</v>
      </c>
      <c r="AM9" s="28">
        <v>0.06</v>
      </c>
      <c r="AN9" s="18">
        <f>IF(AL9&lt;=AM9,1,0)</f>
        <v>1</v>
      </c>
      <c r="AO9" s="28">
        <v>0.51</v>
      </c>
      <c r="AP9" s="28">
        <v>0.56000000000000005</v>
      </c>
      <c r="AQ9" s="18">
        <f>IF(AO9&gt;AP9,1,0)</f>
        <v>0</v>
      </c>
      <c r="AR9" s="28">
        <v>66.86</v>
      </c>
      <c r="AS9" s="28">
        <v>50.26</v>
      </c>
      <c r="AT9" s="14">
        <f>IF(AR9&gt;=AS9,1,0)</f>
        <v>1</v>
      </c>
      <c r="AU9" s="20">
        <f>SUM(I9,N9,AB9,AD9,AK9,AN9,AQ9,AT9,F9,W9)</f>
        <v>8</v>
      </c>
    </row>
    <row r="10" spans="1:47" ht="15.6" x14ac:dyDescent="0.3">
      <c r="A10" s="11">
        <v>9</v>
      </c>
      <c r="B10" s="22" t="s">
        <v>55</v>
      </c>
      <c r="C10" s="23">
        <v>90810</v>
      </c>
      <c r="D10" s="24">
        <v>63.2</v>
      </c>
      <c r="E10" s="24">
        <v>55.03</v>
      </c>
      <c r="F10" s="14">
        <f>IF(OR(D10&gt;=E10,D10=0),0,1)</f>
        <v>0</v>
      </c>
      <c r="G10" s="24">
        <v>15.31</v>
      </c>
      <c r="H10" s="24">
        <v>0.44</v>
      </c>
      <c r="I10" s="14">
        <f>IF(AND(H10&lt;=1,H10&gt;0),1,0)</f>
        <v>1</v>
      </c>
      <c r="J10" s="24">
        <v>1493.6</v>
      </c>
      <c r="K10" s="24">
        <v>504.4</v>
      </c>
      <c r="L10" s="24">
        <v>15.55</v>
      </c>
      <c r="M10" s="24">
        <v>8.75</v>
      </c>
      <c r="N10" s="14">
        <f>IF(AND(J10&gt;K10,L10&gt;=M10),1,0)</f>
        <v>1</v>
      </c>
      <c r="O10" s="15">
        <v>468.4</v>
      </c>
      <c r="P10" s="15">
        <v>260.89999999999998</v>
      </c>
      <c r="Q10" s="15">
        <v>253.1</v>
      </c>
      <c r="R10" s="15">
        <v>511.2</v>
      </c>
      <c r="S10" s="15">
        <v>222.6</v>
      </c>
      <c r="T10" s="15">
        <v>212.7</v>
      </c>
      <c r="U10" s="15">
        <v>-184.1</v>
      </c>
      <c r="V10" s="15">
        <v>253.2</v>
      </c>
      <c r="W10" s="14">
        <f>IF(AND(O10&gt;S10,P10&gt;T10,Q10&gt;U10,R10&gt;V10),1,0)</f>
        <v>1</v>
      </c>
      <c r="X10" s="24">
        <v>4582.6000000000004</v>
      </c>
      <c r="Y10" s="24">
        <v>3546.1</v>
      </c>
      <c r="Z10" s="24">
        <v>51.49</v>
      </c>
      <c r="AA10" s="24">
        <v>50.02</v>
      </c>
      <c r="AB10" s="14">
        <f>IF(AND(X10&gt;Y10,Z10&gt;=AA10,X10&gt;0),1,0)</f>
        <v>1</v>
      </c>
      <c r="AC10" s="12" t="str">
        <f>IF(X10&gt;J10,"Yes","No")</f>
        <v>Yes</v>
      </c>
      <c r="AD10" s="14">
        <f>IF(X10&gt;J10,1,0)</f>
        <v>1</v>
      </c>
      <c r="AE10" s="26">
        <v>1918.3</v>
      </c>
      <c r="AF10" s="26">
        <v>6841.3</v>
      </c>
      <c r="AG10" s="17">
        <f>AE10/AF10</f>
        <v>0.28039992399105435</v>
      </c>
      <c r="AH10" s="26">
        <v>2397.1999999999998</v>
      </c>
      <c r="AI10" s="26">
        <v>7551.2</v>
      </c>
      <c r="AJ10" s="17">
        <f>AH10/AI10</f>
        <v>0.31745947663947449</v>
      </c>
      <c r="AK10" s="18">
        <f>IF(AG10&gt;=AJ10,1,0)</f>
        <v>0</v>
      </c>
      <c r="AL10" s="28">
        <v>0.45</v>
      </c>
      <c r="AM10" s="28">
        <v>0.6</v>
      </c>
      <c r="AN10" s="18">
        <f>IF(AL10&lt;=AM10,1,0)</f>
        <v>1</v>
      </c>
      <c r="AO10" s="28">
        <v>0.45</v>
      </c>
      <c r="AP10" s="28">
        <v>0.39</v>
      </c>
      <c r="AQ10" s="18">
        <f>IF(AO10&gt;AP10,1,0)</f>
        <v>1</v>
      </c>
      <c r="AR10" s="28">
        <v>48.08</v>
      </c>
      <c r="AS10" s="28">
        <v>45.81</v>
      </c>
      <c r="AT10" s="14">
        <f>IF(AR10&gt;=AS10,1,0)</f>
        <v>1</v>
      </c>
      <c r="AU10" s="20">
        <f>SUM(I10,N10,AB10,AD10,AK10,AN10,AQ10,AT10,F10,W10)</f>
        <v>8</v>
      </c>
    </row>
    <row r="11" spans="1:47" ht="15.6" x14ac:dyDescent="0.3">
      <c r="A11" s="11">
        <v>10</v>
      </c>
      <c r="B11" s="22" t="s">
        <v>56</v>
      </c>
      <c r="C11" s="23">
        <v>79003.839999999997</v>
      </c>
      <c r="D11" s="24">
        <v>24.74</v>
      </c>
      <c r="E11" s="24">
        <v>30.21</v>
      </c>
      <c r="F11" s="14">
        <f>IF(OR(D11&gt;=E11,D11=0),0,1)</f>
        <v>1</v>
      </c>
      <c r="G11" s="24">
        <v>6.46</v>
      </c>
      <c r="H11" s="24">
        <v>0.09</v>
      </c>
      <c r="I11" s="14">
        <f>IF(AND(H11&lt;=1,H11&gt;0),1,0)</f>
        <v>1</v>
      </c>
      <c r="J11" s="24">
        <v>3382.79</v>
      </c>
      <c r="K11" s="24">
        <v>2696.34</v>
      </c>
      <c r="L11" s="24">
        <v>7.87</v>
      </c>
      <c r="M11" s="24">
        <v>5.9</v>
      </c>
      <c r="N11" s="14">
        <f>IF(AND(J11&gt;K11,L11&gt;=M11),1,0)</f>
        <v>1</v>
      </c>
      <c r="O11" s="15">
        <v>1130.0999999999999</v>
      </c>
      <c r="P11" s="15">
        <v>761.9</v>
      </c>
      <c r="Q11" s="15">
        <v>705.6</v>
      </c>
      <c r="R11" s="15">
        <v>509.2</v>
      </c>
      <c r="S11" s="15">
        <v>853.4</v>
      </c>
      <c r="T11" s="15">
        <v>560.20000000000005</v>
      </c>
      <c r="U11" s="15">
        <v>526</v>
      </c>
      <c r="V11" s="15">
        <v>543.9</v>
      </c>
      <c r="W11" s="14">
        <f>IF(AND(O11&gt;S11,P11&gt;T11,Q11&gt;U11,R11&gt;V11),1,0)</f>
        <v>0</v>
      </c>
      <c r="X11" s="24">
        <v>128.47</v>
      </c>
      <c r="Y11" s="24">
        <v>-6257.98</v>
      </c>
      <c r="Z11" s="24">
        <v>0.26</v>
      </c>
      <c r="AA11" s="24">
        <v>-13.67</v>
      </c>
      <c r="AB11" s="14">
        <f>IF(AND(X11&gt;Y11,Z11&gt;=AA11,X11&gt;0),1,0)</f>
        <v>1</v>
      </c>
      <c r="AC11" s="12" t="str">
        <f>IF(X11&gt;J11,"Yes","No")</f>
        <v>No</v>
      </c>
      <c r="AD11" s="14">
        <f>IF(X11&gt;J11,1,0)</f>
        <v>0</v>
      </c>
      <c r="AE11" s="26">
        <v>42759.8</v>
      </c>
      <c r="AF11" s="26">
        <v>28225.599999999999</v>
      </c>
      <c r="AG11" s="17">
        <f>AE11/AF11</f>
        <v>1.5149297092001588</v>
      </c>
      <c r="AH11" s="26">
        <v>34545.699999999997</v>
      </c>
      <c r="AI11" s="26">
        <v>25332.799999999999</v>
      </c>
      <c r="AJ11" s="17">
        <f>AH11/AI11</f>
        <v>1.3636747615739278</v>
      </c>
      <c r="AK11" s="18">
        <f>IF(AG11&gt;=AJ11,1,0)</f>
        <v>1</v>
      </c>
      <c r="AL11" s="28">
        <v>0</v>
      </c>
      <c r="AM11" s="28">
        <v>0</v>
      </c>
      <c r="AN11" s="18">
        <f>IF(AL11&lt;=AM11,1,0)</f>
        <v>1</v>
      </c>
      <c r="AO11" s="28">
        <v>0.45</v>
      </c>
      <c r="AP11" s="28">
        <v>0.4</v>
      </c>
      <c r="AQ11" s="18">
        <f>IF(AO11&gt;AP11,1,0)</f>
        <v>1</v>
      </c>
      <c r="AR11" s="28">
        <v>4.3099999999999996</v>
      </c>
      <c r="AS11" s="28">
        <v>2.5099999999999998</v>
      </c>
      <c r="AT11" s="14">
        <f>IF(AR11&gt;=AS11,1,0)</f>
        <v>1</v>
      </c>
      <c r="AU11" s="20">
        <f>SUM(I11,N11,AB11,AD11,AK11,AN11,AQ11,AT11,F11,W11)</f>
        <v>8</v>
      </c>
    </row>
    <row r="12" spans="1:47" ht="15.6" x14ac:dyDescent="0.3">
      <c r="A12" s="11">
        <v>11</v>
      </c>
      <c r="B12" s="22" t="s">
        <v>57</v>
      </c>
      <c r="C12" s="23">
        <v>66102.070000000007</v>
      </c>
      <c r="D12" s="24">
        <v>24.06</v>
      </c>
      <c r="E12" s="24">
        <v>24.93</v>
      </c>
      <c r="F12" s="14">
        <f>IF(OR(D12&gt;=E12,D12=0),0,1)</f>
        <v>1</v>
      </c>
      <c r="G12" s="24">
        <v>3.75</v>
      </c>
      <c r="H12" s="24">
        <v>0.5</v>
      </c>
      <c r="I12" s="14">
        <f>IF(AND(H12&lt;=1,H12&gt;0),1,0)</f>
        <v>1</v>
      </c>
      <c r="J12" s="24">
        <v>3058.61</v>
      </c>
      <c r="K12" s="24">
        <v>1896</v>
      </c>
      <c r="L12" s="24">
        <v>9.91</v>
      </c>
      <c r="M12" s="24">
        <v>6.68</v>
      </c>
      <c r="N12" s="14">
        <f>IF(AND(J12&gt;K12,L12&gt;=M12),1,0)</f>
        <v>1</v>
      </c>
      <c r="O12" s="15">
        <v>1059.5999999999999</v>
      </c>
      <c r="P12" s="15">
        <v>475.7</v>
      </c>
      <c r="Q12" s="15">
        <v>481</v>
      </c>
      <c r="R12" s="15">
        <v>972.2</v>
      </c>
      <c r="S12" s="15">
        <v>430.2</v>
      </c>
      <c r="T12" s="15">
        <v>359.8</v>
      </c>
      <c r="U12" s="15">
        <v>525.9</v>
      </c>
      <c r="V12" s="15">
        <v>517.29999999999995</v>
      </c>
      <c r="W12" s="14">
        <f>IF(AND(O12&gt;S12,P12&gt;T12,Q12&gt;U12,R12&gt;V12),1,0)</f>
        <v>0</v>
      </c>
      <c r="X12" s="24">
        <v>4804.91</v>
      </c>
      <c r="Y12" s="24">
        <v>4258.3500000000004</v>
      </c>
      <c r="Z12" s="24">
        <v>17.14</v>
      </c>
      <c r="AA12" s="24">
        <v>15.67</v>
      </c>
      <c r="AB12" s="14">
        <f>IF(AND(X12&gt;Y12,Z12&gt;=AA12,X12&gt;0),1,0)</f>
        <v>1</v>
      </c>
      <c r="AC12" s="12" t="str">
        <f>IF(X12&gt;J12,"Yes","No")</f>
        <v>Yes</v>
      </c>
      <c r="AD12" s="14">
        <f>IF(X12&gt;J12,1,0)</f>
        <v>1</v>
      </c>
      <c r="AE12" s="26">
        <v>8620.1</v>
      </c>
      <c r="AF12" s="26">
        <v>7589.5</v>
      </c>
      <c r="AG12" s="17">
        <f>AE12/AF12</f>
        <v>1.1357928717306807</v>
      </c>
      <c r="AH12" s="26">
        <v>8506.4</v>
      </c>
      <c r="AI12" s="26">
        <v>7813.1</v>
      </c>
      <c r="AJ12" s="17">
        <f>AH12/AI12</f>
        <v>1.0887355851070637</v>
      </c>
      <c r="AK12" s="18">
        <f>IF(AG12&gt;=AJ12,1,0)</f>
        <v>1</v>
      </c>
      <c r="AL12" s="28">
        <v>0.41</v>
      </c>
      <c r="AM12" s="28">
        <v>0.82</v>
      </c>
      <c r="AN12" s="18">
        <f>IF(AL12&lt;=AM12,1,0)</f>
        <v>1</v>
      </c>
      <c r="AO12" s="28">
        <v>0.83</v>
      </c>
      <c r="AP12" s="28">
        <v>0.86</v>
      </c>
      <c r="AQ12" s="18">
        <f>IF(AO12&gt;AP12,1,0)</f>
        <v>0</v>
      </c>
      <c r="AR12" s="28">
        <v>17.899999999999999</v>
      </c>
      <c r="AS12" s="28">
        <v>16.559999999999999</v>
      </c>
      <c r="AT12" s="14">
        <f>IF(AR12&gt;=AS12,1,0)</f>
        <v>1</v>
      </c>
      <c r="AU12" s="20">
        <f>SUM(I12,N12,AB12,AD12,AK12,AN12,AQ12,AT12,F12,W12)</f>
        <v>8</v>
      </c>
    </row>
    <row r="13" spans="1:47" ht="15.6" x14ac:dyDescent="0.3">
      <c r="A13" s="11">
        <v>12</v>
      </c>
      <c r="B13" s="12" t="s">
        <v>59</v>
      </c>
      <c r="C13" s="13">
        <v>301747.67</v>
      </c>
      <c r="D13" s="12">
        <v>54.86</v>
      </c>
      <c r="E13" s="12">
        <v>68.64</v>
      </c>
      <c r="F13" s="14">
        <f>IF(OR(D13&gt;=E13,D13=0),0,1)</f>
        <v>1</v>
      </c>
      <c r="G13" s="12">
        <v>15.11</v>
      </c>
      <c r="H13" s="12">
        <v>0.81</v>
      </c>
      <c r="I13" s="14">
        <f>IF(AND(H13&lt;=1,H13&gt;0),1,0)</f>
        <v>1</v>
      </c>
      <c r="J13" s="12">
        <v>5322.68</v>
      </c>
      <c r="K13" s="12">
        <v>3985.24</v>
      </c>
      <c r="L13" s="12">
        <v>22.32</v>
      </c>
      <c r="M13" s="12">
        <v>19.57</v>
      </c>
      <c r="N13" s="14">
        <f>IF(AND(J13&gt;K13,L13&gt;=M13),1,0)</f>
        <v>1</v>
      </c>
      <c r="O13" s="15">
        <v>2127</v>
      </c>
      <c r="P13" s="15">
        <v>1311</v>
      </c>
      <c r="Q13" s="15">
        <v>1092.5</v>
      </c>
      <c r="R13" s="15">
        <v>791</v>
      </c>
      <c r="S13" s="15">
        <v>1797.1</v>
      </c>
      <c r="T13" s="15">
        <v>859.6</v>
      </c>
      <c r="U13" s="15">
        <v>789.4</v>
      </c>
      <c r="V13" s="15">
        <v>538.6</v>
      </c>
      <c r="W13" s="14">
        <f>IF(AND(O13&gt;S13,P13&gt;T13,Q13&gt;U13,R13&gt;V13),1,0)</f>
        <v>1</v>
      </c>
      <c r="X13" s="12">
        <v>586.62</v>
      </c>
      <c r="Y13" s="12">
        <v>4659.49</v>
      </c>
      <c r="Z13" s="12">
        <v>2.4500000000000002</v>
      </c>
      <c r="AA13" s="12">
        <v>22.99</v>
      </c>
      <c r="AB13" s="14">
        <f>IF(AND(X13&gt;Y13,Z13&gt;=AA13,X13&gt;0),1,0)</f>
        <v>0</v>
      </c>
      <c r="AC13" s="12" t="str">
        <f>IF(X13&gt;J13,"Yes","No")</f>
        <v>No</v>
      </c>
      <c r="AD13" s="14">
        <f>IF(X13&gt;J13,1,0)</f>
        <v>0</v>
      </c>
      <c r="AE13" s="16">
        <v>34857.9</v>
      </c>
      <c r="AF13" s="16">
        <v>19752.5</v>
      </c>
      <c r="AG13" s="17">
        <f>AE13/AF13</f>
        <v>1.7647335780280977</v>
      </c>
      <c r="AH13" s="25">
        <v>34063</v>
      </c>
      <c r="AI13" s="16">
        <v>22026.7</v>
      </c>
      <c r="AJ13" s="17">
        <f>AH13/AI13</f>
        <v>1.5464413643441823</v>
      </c>
      <c r="AK13" s="18">
        <f>IF(AG13&gt;=AJ13,1,0)</f>
        <v>1</v>
      </c>
      <c r="AL13" s="19">
        <v>0</v>
      </c>
      <c r="AM13" s="19">
        <v>0</v>
      </c>
      <c r="AN13" s="18">
        <f>IF(AL13&lt;=AM13,1,0)</f>
        <v>1</v>
      </c>
      <c r="AO13" s="19">
        <v>0.59</v>
      </c>
      <c r="AP13" s="19">
        <v>0.54</v>
      </c>
      <c r="AQ13" s="18">
        <f>IF(AO13&gt;AP13,1,0)</f>
        <v>1</v>
      </c>
      <c r="AR13" s="19">
        <v>27.88</v>
      </c>
      <c r="AS13" s="19">
        <v>24.1</v>
      </c>
      <c r="AT13" s="14">
        <f>IF(AR13&gt;=AS13,1,0)</f>
        <v>1</v>
      </c>
      <c r="AU13" s="20">
        <f>SUM(I13,N13,AB13,AD13,AK13,AN13,AQ13,AT13,F13,W13)</f>
        <v>8</v>
      </c>
    </row>
    <row r="14" spans="1:47" ht="15.6" x14ac:dyDescent="0.3">
      <c r="A14" s="11">
        <v>13</v>
      </c>
      <c r="B14" s="22" t="s">
        <v>61</v>
      </c>
      <c r="C14" s="23">
        <v>173596.83</v>
      </c>
      <c r="D14" s="24">
        <v>73.23</v>
      </c>
      <c r="E14" s="24">
        <v>33.65</v>
      </c>
      <c r="F14" s="14">
        <f>IF(OR(D14&gt;=E14,D14=0),0,1)</f>
        <v>0</v>
      </c>
      <c r="G14" s="24">
        <v>20.420000000000002</v>
      </c>
      <c r="H14" s="24">
        <v>1.81</v>
      </c>
      <c r="I14" s="14">
        <f>IF(AND(H14&lt;=1,H14&gt;0),1,0)</f>
        <v>0</v>
      </c>
      <c r="J14" s="24">
        <v>2379.81</v>
      </c>
      <c r="K14" s="24">
        <v>1778.54</v>
      </c>
      <c r="L14" s="24">
        <v>5.24</v>
      </c>
      <c r="M14" s="24">
        <v>4.4000000000000004</v>
      </c>
      <c r="N14" s="14">
        <f>IF(AND(J14&gt;K14,L14&gt;=M14),1,0)</f>
        <v>1</v>
      </c>
      <c r="O14" s="15">
        <v>610</v>
      </c>
      <c r="P14" s="15">
        <v>648.20000000000005</v>
      </c>
      <c r="Q14" s="15">
        <v>566</v>
      </c>
      <c r="R14" s="15">
        <v>560.5</v>
      </c>
      <c r="S14" s="15">
        <v>460.9</v>
      </c>
      <c r="T14" s="15">
        <v>387</v>
      </c>
      <c r="U14" s="15">
        <v>478.8</v>
      </c>
      <c r="V14" s="15">
        <v>386.3</v>
      </c>
      <c r="W14" s="14">
        <f>IF(AND(O14&gt;S14,P14&gt;T14,Q14&gt;U14,R14&gt;V14),1,0)</f>
        <v>1</v>
      </c>
      <c r="X14" s="24">
        <v>3502.92</v>
      </c>
      <c r="Y14" s="24">
        <v>-1252.67</v>
      </c>
      <c r="Z14" s="24">
        <v>7.6</v>
      </c>
      <c r="AA14" s="24">
        <v>-3.2</v>
      </c>
      <c r="AB14" s="14">
        <f>IF(AND(X14&gt;Y14,Z14&gt;=AA14,X14&gt;0),1,0)</f>
        <v>1</v>
      </c>
      <c r="AC14" s="12" t="str">
        <f>IF(X14&gt;J14,"Yes","No")</f>
        <v>Yes</v>
      </c>
      <c r="AD14" s="14">
        <f>IF(X14&gt;J14,1,0)</f>
        <v>1</v>
      </c>
      <c r="AE14" s="16">
        <v>25984.3</v>
      </c>
      <c r="AF14" s="16">
        <v>23173.5</v>
      </c>
      <c r="AG14" s="17">
        <f>AE14/AF14</f>
        <v>1.121293719118821</v>
      </c>
      <c r="AH14" s="25">
        <v>21520</v>
      </c>
      <c r="AI14" s="16">
        <v>21078.2</v>
      </c>
      <c r="AJ14" s="17">
        <f>AH14/AI14</f>
        <v>1.0209600440265298</v>
      </c>
      <c r="AK14" s="18">
        <f>IF(AG14&gt;=AJ14,1,0)</f>
        <v>1</v>
      </c>
      <c r="AL14" s="19">
        <v>1.64</v>
      </c>
      <c r="AM14" s="19">
        <v>1.86</v>
      </c>
      <c r="AN14" s="18">
        <f>IF(AL14&lt;=AM14,1,0)</f>
        <v>1</v>
      </c>
      <c r="AO14" s="19">
        <v>1.05</v>
      </c>
      <c r="AP14" s="19">
        <v>1.01</v>
      </c>
      <c r="AQ14" s="18">
        <f>IF(AO14&gt;AP14,1,0)</f>
        <v>1</v>
      </c>
      <c r="AR14" s="19">
        <v>15.06</v>
      </c>
      <c r="AS14" s="19">
        <v>14.12</v>
      </c>
      <c r="AT14" s="14">
        <f>IF(AR14&gt;=AS14,1,0)</f>
        <v>1</v>
      </c>
      <c r="AU14" s="20">
        <f>SUM(I14,N14,AB14,AD14,AK14,AN14,AQ14,AT14,F14,W14)</f>
        <v>8</v>
      </c>
    </row>
    <row r="15" spans="1:47" ht="15.6" x14ac:dyDescent="0.3">
      <c r="A15" s="11">
        <v>14</v>
      </c>
      <c r="B15" s="12" t="s">
        <v>117</v>
      </c>
      <c r="C15" s="13">
        <v>515651.66</v>
      </c>
      <c r="D15" s="12">
        <v>35.450000000000003</v>
      </c>
      <c r="E15" s="12">
        <v>35.46</v>
      </c>
      <c r="F15" s="14">
        <f>IF(OR(D15&gt;=E15,D15=0),0,1)</f>
        <v>1</v>
      </c>
      <c r="G15" s="12">
        <v>5.36</v>
      </c>
      <c r="H15" s="12">
        <v>0.49</v>
      </c>
      <c r="I15" s="14">
        <f>IF(AND(H15&lt;=1,H15&gt;0),1,0)</f>
        <v>1</v>
      </c>
      <c r="J15" s="12">
        <v>14500.2</v>
      </c>
      <c r="K15" s="12">
        <v>13488.2</v>
      </c>
      <c r="L15" s="12">
        <v>9.65</v>
      </c>
      <c r="M15" s="12">
        <v>9.51</v>
      </c>
      <c r="N15" s="14">
        <f>IF(AND(J15&gt;K15,L15&gt;=M15),1,0)</f>
        <v>1</v>
      </c>
      <c r="O15" s="15">
        <v>3911.1</v>
      </c>
      <c r="P15" s="15">
        <v>3726.9</v>
      </c>
      <c r="Q15" s="15">
        <v>3102.5</v>
      </c>
      <c r="R15" s="15">
        <v>3759.7</v>
      </c>
      <c r="S15" s="15">
        <v>3952.3</v>
      </c>
      <c r="T15" s="15">
        <v>3206.8</v>
      </c>
      <c r="U15" s="15">
        <v>3764.3</v>
      </c>
      <c r="V15" s="15">
        <v>2525.1999999999998</v>
      </c>
      <c r="W15" s="14">
        <f>IF(AND(O15&gt;S15,P15&gt;T15,Q15&gt;U15,R15&gt;V15),1,0)</f>
        <v>0</v>
      </c>
      <c r="X15" s="12">
        <v>16936.2</v>
      </c>
      <c r="Y15" s="12">
        <v>16801.099999999999</v>
      </c>
      <c r="Z15" s="12">
        <v>11.96</v>
      </c>
      <c r="AA15" s="12">
        <v>11.84</v>
      </c>
      <c r="AB15" s="14">
        <f>IF(AND(X15&gt;Y15,Z15&gt;=AA15,X15&gt;0),1,0)</f>
        <v>1</v>
      </c>
      <c r="AC15" s="12" t="str">
        <f>IF(X15&gt;J15,"Yes","No")</f>
        <v>Yes</v>
      </c>
      <c r="AD15" s="14">
        <f>IF(X15&gt;J15,1,0)</f>
        <v>1</v>
      </c>
      <c r="AE15" s="16">
        <v>29524.2</v>
      </c>
      <c r="AF15" s="16">
        <v>30570.5</v>
      </c>
      <c r="AG15" s="17">
        <f>AE15/AF15</f>
        <v>0.9657741940759883</v>
      </c>
      <c r="AH15" s="16">
        <v>22633.8</v>
      </c>
      <c r="AI15" s="16">
        <v>25951.8</v>
      </c>
      <c r="AJ15" s="17">
        <f>AH15/AI15</f>
        <v>0.87214759669849495</v>
      </c>
      <c r="AK15" s="18">
        <f>IF(AG15&gt;=AJ15,1,0)</f>
        <v>1</v>
      </c>
      <c r="AL15" s="19">
        <v>0</v>
      </c>
      <c r="AM15" s="19">
        <v>0</v>
      </c>
      <c r="AN15" s="18">
        <f>IF(AL15&lt;=AM15,1,0)</f>
        <v>1</v>
      </c>
      <c r="AO15" s="19">
        <v>1.24</v>
      </c>
      <c r="AP15" s="19">
        <v>1.42</v>
      </c>
      <c r="AQ15" s="18">
        <f>IF(AO15&gt;AP15,1,0)</f>
        <v>0</v>
      </c>
      <c r="AR15" s="19">
        <v>12.76</v>
      </c>
      <c r="AS15" s="19">
        <v>12.69</v>
      </c>
      <c r="AT15" s="14">
        <f>IF(AR15&gt;=AS15,1,0)</f>
        <v>1</v>
      </c>
      <c r="AU15" s="20">
        <f>SUM(I15,N15,AB15,AD15,AK15,AN15,AQ15,AT15,F15,W15)</f>
        <v>8</v>
      </c>
    </row>
    <row r="16" spans="1:47" ht="15.6" x14ac:dyDescent="0.3">
      <c r="A16" s="11">
        <v>15</v>
      </c>
      <c r="B16" s="12" t="s">
        <v>58</v>
      </c>
      <c r="C16" s="13">
        <v>402872.33</v>
      </c>
      <c r="D16" s="12">
        <v>35.14</v>
      </c>
      <c r="E16" s="12">
        <v>32.840000000000003</v>
      </c>
      <c r="F16" s="14">
        <f>IF(OR(D16&gt;=E16,D16=0),0,1)</f>
        <v>0</v>
      </c>
      <c r="G16" s="12">
        <v>5.58</v>
      </c>
      <c r="H16" s="12">
        <v>1.74</v>
      </c>
      <c r="I16" s="14">
        <f>IF(AND(H16&lt;=1,H16&gt;0),1,0)</f>
        <v>0</v>
      </c>
      <c r="J16" s="12">
        <v>10964.75</v>
      </c>
      <c r="K16" s="12">
        <v>9610.0300000000007</v>
      </c>
      <c r="L16" s="12">
        <v>21.86</v>
      </c>
      <c r="M16" s="12">
        <v>20.67</v>
      </c>
      <c r="N16" s="14">
        <f>IF(AND(J16&gt;K16,L16&gt;=M16),1,0)</f>
        <v>1</v>
      </c>
      <c r="O16" s="15">
        <v>2149.9</v>
      </c>
      <c r="P16" s="15">
        <v>2903.4</v>
      </c>
      <c r="Q16" s="15">
        <v>3040.2</v>
      </c>
      <c r="R16" s="15">
        <v>2835.6</v>
      </c>
      <c r="S16" s="15">
        <v>2654.6</v>
      </c>
      <c r="T16" s="15">
        <v>2523.8000000000002</v>
      </c>
      <c r="U16" s="15">
        <v>2375.5</v>
      </c>
      <c r="V16" s="15">
        <v>2022.5</v>
      </c>
      <c r="W16" s="14">
        <f>IF(AND(O16&gt;S16,P16&gt;T16,Q16&gt;U16,R16&gt;V16),1,0)</f>
        <v>0</v>
      </c>
      <c r="X16" s="12">
        <v>14072.09</v>
      </c>
      <c r="Y16" s="12">
        <v>12134.98</v>
      </c>
      <c r="Z16" s="12">
        <v>26.17</v>
      </c>
      <c r="AA16" s="12">
        <v>25.02</v>
      </c>
      <c r="AB16" s="14">
        <f>IF(AND(X16&gt;Y16,Z16&gt;=AA16,X16&gt;0),1,0)</f>
        <v>1</v>
      </c>
      <c r="AC16" s="12" t="str">
        <f>IF(X16&gt;J16,"Yes","No")</f>
        <v>Yes</v>
      </c>
      <c r="AD16" s="14">
        <f>IF(X16&gt;J16,1,0)</f>
        <v>1</v>
      </c>
      <c r="AE16" s="16">
        <v>52624.5</v>
      </c>
      <c r="AF16" s="16">
        <v>18194.2</v>
      </c>
      <c r="AG16" s="17">
        <f>AE16/AF16</f>
        <v>2.8923777907245163</v>
      </c>
      <c r="AH16" s="25">
        <v>43475</v>
      </c>
      <c r="AI16" s="16">
        <v>16984.400000000001</v>
      </c>
      <c r="AJ16" s="17">
        <f>AH16/AI16</f>
        <v>2.5597018440451236</v>
      </c>
      <c r="AK16" s="18">
        <f>IF(AG16&gt;=AJ16,1,0)</f>
        <v>1</v>
      </c>
      <c r="AL16" s="19">
        <v>0</v>
      </c>
      <c r="AM16" s="19">
        <v>0</v>
      </c>
      <c r="AN16" s="18">
        <f>IF(AL16&lt;=AM16,1,0)</f>
        <v>1</v>
      </c>
      <c r="AO16" s="19">
        <v>0.59</v>
      </c>
      <c r="AP16" s="19">
        <v>0.57999999999999996</v>
      </c>
      <c r="AQ16" s="18">
        <f>IF(AO16&gt;AP16,1,0)</f>
        <v>1</v>
      </c>
      <c r="AR16" s="19">
        <v>28</v>
      </c>
      <c r="AS16" s="19">
        <v>26.12</v>
      </c>
      <c r="AT16" s="14">
        <f>IF(AR16&gt;=AS16,1,0)</f>
        <v>1</v>
      </c>
      <c r="AU16" s="20">
        <f>SUM(I16,N16,AB16,AD16,AK16,AN16,AQ16,AT16,F16,W16)</f>
        <v>7</v>
      </c>
    </row>
    <row r="17" spans="1:47" ht="15.6" x14ac:dyDescent="0.3">
      <c r="A17" s="11">
        <v>16</v>
      </c>
      <c r="B17" s="12" t="s">
        <v>60</v>
      </c>
      <c r="C17" s="13">
        <v>252556.56</v>
      </c>
      <c r="D17" s="12">
        <v>18.71</v>
      </c>
      <c r="E17" s="12">
        <v>29.47</v>
      </c>
      <c r="F17" s="14">
        <f>IF(OR(D17&gt;=E17,D17=0),0,1)</f>
        <v>1</v>
      </c>
      <c r="G17" s="12">
        <v>2.95</v>
      </c>
      <c r="H17" s="12">
        <v>8.17</v>
      </c>
      <c r="I17" s="14">
        <f>IF(AND(H17&lt;=1,H17&gt;0),1,0)</f>
        <v>0</v>
      </c>
      <c r="J17" s="12">
        <v>13218</v>
      </c>
      <c r="K17" s="12">
        <v>11112.1</v>
      </c>
      <c r="L17" s="12">
        <v>14.79</v>
      </c>
      <c r="M17" s="12">
        <v>12.21</v>
      </c>
      <c r="N17" s="14">
        <f>IF(AND(J17&gt;K17,L17&gt;=M17),1,0)</f>
        <v>1</v>
      </c>
      <c r="O17" s="15">
        <v>3330.4</v>
      </c>
      <c r="P17" s="15">
        <v>3569.6</v>
      </c>
      <c r="Q17" s="15">
        <v>3353.8</v>
      </c>
      <c r="R17" s="15">
        <v>3208.8</v>
      </c>
      <c r="S17" s="15">
        <v>3003.2</v>
      </c>
      <c r="T17" s="15">
        <v>2834.6</v>
      </c>
      <c r="U17" s="15">
        <v>2694.2</v>
      </c>
      <c r="V17" s="15">
        <v>2646.3</v>
      </c>
      <c r="W17" s="14">
        <f>IF(AND(O17&gt;S17,P17&gt;T17,Q17&gt;U17,R17&gt;V17),1,0)</f>
        <v>1</v>
      </c>
      <c r="X17" s="12">
        <v>16942.599999999999</v>
      </c>
      <c r="Y17" s="12">
        <v>17621.599999999999</v>
      </c>
      <c r="Z17" s="12">
        <v>18.899999999999999</v>
      </c>
      <c r="AA17" s="12">
        <v>19.63</v>
      </c>
      <c r="AB17" s="14">
        <f>IF(AND(X17&gt;Y17,Z17&gt;=AA17,X17&gt;0),1,0)</f>
        <v>0</v>
      </c>
      <c r="AC17" s="12" t="str">
        <f>IF(X17&gt;J17,"Yes","No")</f>
        <v>Yes</v>
      </c>
      <c r="AD17" s="14">
        <f>IF(X17&gt;J17,1,0)</f>
        <v>1</v>
      </c>
      <c r="AE17" s="16">
        <v>77777.5</v>
      </c>
      <c r="AF17" s="16">
        <v>28625.3</v>
      </c>
      <c r="AG17" s="17">
        <f>AE17/AF17</f>
        <v>2.7170894278837254</v>
      </c>
      <c r="AH17" s="16">
        <v>65066.2</v>
      </c>
      <c r="AI17" s="16">
        <v>25245.8</v>
      </c>
      <c r="AJ17" s="17">
        <f>AH17/AI17</f>
        <v>2.5773079086422297</v>
      </c>
      <c r="AK17" s="18">
        <f>IF(AG17&gt;=AJ17,1,0)</f>
        <v>1</v>
      </c>
      <c r="AL17" s="19">
        <v>0.08</v>
      </c>
      <c r="AM17" s="19">
        <v>0.08</v>
      </c>
      <c r="AN17" s="18">
        <f>IF(AL17&lt;=AM17,1,0)</f>
        <v>1</v>
      </c>
      <c r="AO17" s="19">
        <v>0.73</v>
      </c>
      <c r="AP17" s="19">
        <v>0.77</v>
      </c>
      <c r="AQ17" s="18">
        <f>IF(AO17&gt;AP17,1,0)</f>
        <v>0</v>
      </c>
      <c r="AR17" s="19">
        <v>19.38</v>
      </c>
      <c r="AS17" s="19">
        <v>18.16</v>
      </c>
      <c r="AT17" s="14">
        <f>IF(AR17&gt;=AS17,1,0)</f>
        <v>1</v>
      </c>
      <c r="AU17" s="20">
        <f>SUM(I17,N17,AB17,AD17,AK17,AN17,AQ17,AT17,F17,W17)</f>
        <v>7</v>
      </c>
    </row>
    <row r="18" spans="1:47" ht="15.6" x14ac:dyDescent="0.3">
      <c r="A18" s="11">
        <v>17</v>
      </c>
      <c r="B18" s="22" t="s">
        <v>62</v>
      </c>
      <c r="C18" s="23">
        <v>141809.14000000001</v>
      </c>
      <c r="D18" s="24">
        <v>31.62</v>
      </c>
      <c r="E18" s="24">
        <v>29.47</v>
      </c>
      <c r="F18" s="14">
        <f>IF(OR(D18&gt;=E18,D18=0),0,1)</f>
        <v>0</v>
      </c>
      <c r="G18" s="24">
        <v>5.16</v>
      </c>
      <c r="H18" s="24">
        <v>-2.94</v>
      </c>
      <c r="I18" s="14">
        <f>IF(AND(H18&lt;=1,H18&gt;0),1,0)</f>
        <v>0</v>
      </c>
      <c r="J18" s="24">
        <v>4253</v>
      </c>
      <c r="K18" s="24">
        <v>2396.8000000000002</v>
      </c>
      <c r="L18" s="24">
        <v>7.46</v>
      </c>
      <c r="M18" s="24">
        <v>4.6100000000000003</v>
      </c>
      <c r="N18" s="14">
        <f>IF(AND(J18&gt;K18,L18&gt;=M18),1,0)</f>
        <v>1</v>
      </c>
      <c r="O18" s="15">
        <v>1140.5999999999999</v>
      </c>
      <c r="P18" s="15">
        <v>1166.7</v>
      </c>
      <c r="Q18" s="15">
        <v>983.2</v>
      </c>
      <c r="R18" s="15">
        <v>1250.0999999999999</v>
      </c>
      <c r="S18" s="15">
        <v>851.5</v>
      </c>
      <c r="T18" s="15">
        <v>661</v>
      </c>
      <c r="U18" s="15">
        <v>510.5</v>
      </c>
      <c r="V18" s="15">
        <v>493.9</v>
      </c>
      <c r="W18" s="14">
        <f>IF(AND(O18&gt;S18,P18&gt;T18,Q18&gt;U18,R18&gt;V18),1,0)</f>
        <v>1</v>
      </c>
      <c r="X18" s="24">
        <v>5785.7</v>
      </c>
      <c r="Y18" s="24">
        <v>6376.4</v>
      </c>
      <c r="Z18" s="24">
        <v>10.71</v>
      </c>
      <c r="AA18" s="24">
        <v>12.26</v>
      </c>
      <c r="AB18" s="14">
        <f>IF(AND(X18&gt;Y18,Z18&gt;=AA18,X18&gt;0),1,0)</f>
        <v>0</v>
      </c>
      <c r="AC18" s="12" t="str">
        <f>IF(X18&gt;J18,"Yes","No")</f>
        <v>Yes</v>
      </c>
      <c r="AD18" s="14">
        <f>IF(X18&gt;J18,1,0)</f>
        <v>1</v>
      </c>
      <c r="AE18" s="16">
        <v>23679.200000000001</v>
      </c>
      <c r="AF18" s="25">
        <v>12674</v>
      </c>
      <c r="AG18" s="17">
        <f>AE18/AF18</f>
        <v>1.8683288622376519</v>
      </c>
      <c r="AH18" s="16">
        <v>23425.3</v>
      </c>
      <c r="AI18" s="16">
        <v>12616.6</v>
      </c>
      <c r="AJ18" s="17">
        <f>AH18/AI18</f>
        <v>1.8567046589413945</v>
      </c>
      <c r="AK18" s="18">
        <f>IF(AG18&gt;=AJ18,1,0)</f>
        <v>1</v>
      </c>
      <c r="AL18" s="19">
        <v>0</v>
      </c>
      <c r="AM18" s="19">
        <v>0</v>
      </c>
      <c r="AN18" s="18">
        <f>IF(AL18&lt;=AM18,1,0)</f>
        <v>1</v>
      </c>
      <c r="AO18" s="19">
        <v>1.21</v>
      </c>
      <c r="AP18" s="19">
        <v>1.1599999999999999</v>
      </c>
      <c r="AQ18" s="18">
        <f>IF(AO18&gt;AP18,1,0)</f>
        <v>1</v>
      </c>
      <c r="AR18" s="19">
        <v>12.93</v>
      </c>
      <c r="AS18" s="19">
        <v>8.52</v>
      </c>
      <c r="AT18" s="14">
        <f>IF(AR18&gt;=AS18,1,0)</f>
        <v>1</v>
      </c>
      <c r="AU18" s="20">
        <f>SUM(I18,N18,AB18,AD18,AK18,AN18,AQ18,AT18,F18,W18)</f>
        <v>7</v>
      </c>
    </row>
    <row r="19" spans="1:47" ht="15.6" x14ac:dyDescent="0.3">
      <c r="A19" s="11">
        <v>18</v>
      </c>
      <c r="B19" s="22" t="s">
        <v>63</v>
      </c>
      <c r="C19" s="23">
        <v>136782.53</v>
      </c>
      <c r="D19" s="24">
        <v>7.03</v>
      </c>
      <c r="E19" s="24">
        <v>7.53</v>
      </c>
      <c r="F19" s="14">
        <f>IF(OR(D19&gt;=E19,D19=0),0,1)</f>
        <v>1</v>
      </c>
      <c r="G19" s="24">
        <v>0.89</v>
      </c>
      <c r="H19" s="24">
        <v>0.18</v>
      </c>
      <c r="I19" s="14">
        <f>IF(AND(H19&lt;=1,H19&gt;0),1,0)</f>
        <v>1</v>
      </c>
      <c r="J19" s="24">
        <v>20865.259999999998</v>
      </c>
      <c r="K19" s="24">
        <v>18868.87</v>
      </c>
      <c r="L19" s="24">
        <v>16.28</v>
      </c>
      <c r="M19" s="24">
        <v>15.93</v>
      </c>
      <c r="N19" s="14">
        <f>IF(AND(J19&gt;K19,L19&gt;=M19),1,0)</f>
        <v>1</v>
      </c>
      <c r="O19" s="15">
        <v>5419.7</v>
      </c>
      <c r="P19" s="15">
        <v>5213.7</v>
      </c>
      <c r="Q19" s="15">
        <v>5355.1</v>
      </c>
      <c r="R19" s="15">
        <v>4727.8</v>
      </c>
      <c r="S19" s="15">
        <v>5132.5</v>
      </c>
      <c r="T19" s="15">
        <v>4788.5</v>
      </c>
      <c r="U19" s="15">
        <v>4458.3999999999996</v>
      </c>
      <c r="V19" s="15">
        <v>4483.2</v>
      </c>
      <c r="W19" s="14">
        <f>IF(AND(O19&gt;S19,P19&gt;T19,Q19&gt;U19,R19&gt;V19),1,0)</f>
        <v>1</v>
      </c>
      <c r="X19" s="24">
        <v>34891.58</v>
      </c>
      <c r="Y19" s="24">
        <v>-6273.96</v>
      </c>
      <c r="Z19" s="24">
        <v>26.81</v>
      </c>
      <c r="AA19" s="24">
        <v>-5.3</v>
      </c>
      <c r="AB19" s="14">
        <f>IF(AND(X19&gt;Y19,Z19&gt;=AA19,X19&gt;0),1,0)</f>
        <v>1</v>
      </c>
      <c r="AC19" s="12" t="str">
        <f>IF(X19&gt;J19,"Yes","No")</f>
        <v>Yes</v>
      </c>
      <c r="AD19" s="14">
        <f>IF(X19&gt;J19,1,0)</f>
        <v>1</v>
      </c>
      <c r="AE19" s="16">
        <v>1420849.9</v>
      </c>
      <c r="AF19" s="16">
        <v>81523.100000000006</v>
      </c>
      <c r="AG19" s="17">
        <f>AE19/AF19</f>
        <v>17.428801161879267</v>
      </c>
      <c r="AH19" s="16">
        <v>1238583.8999999999</v>
      </c>
      <c r="AI19" s="16">
        <v>80288.3</v>
      </c>
      <c r="AJ19" s="17">
        <f>AH19/AI19</f>
        <v>15.426704762711378</v>
      </c>
      <c r="AK19" s="18">
        <f>IF(AG19&gt;=AJ19,1,0)</f>
        <v>1</v>
      </c>
      <c r="AL19" s="19">
        <v>0.93</v>
      </c>
      <c r="AM19" s="19">
        <v>0.85</v>
      </c>
      <c r="AN19" s="18">
        <f>IF(AL19&lt;=AM19,1,0)</f>
        <v>0</v>
      </c>
      <c r="AO19" s="19">
        <v>7.0000000000000007E-2</v>
      </c>
      <c r="AP19" s="19">
        <v>7.0000000000000007E-2</v>
      </c>
      <c r="AQ19" s="18">
        <f>IF(AO19&gt;AP19,1,0)</f>
        <v>0</v>
      </c>
      <c r="AR19" s="19">
        <v>24.79</v>
      </c>
      <c r="AS19" s="19">
        <v>26.48</v>
      </c>
      <c r="AT19" s="14">
        <f>IF(AR19&gt;=AS19,1,0)</f>
        <v>0</v>
      </c>
      <c r="AU19" s="20">
        <f>SUM(I19,N19,AB19,AD19,AK19,AN19,AQ19,AT19,F19,W19)</f>
        <v>7</v>
      </c>
    </row>
    <row r="20" spans="1:47" ht="15.6" x14ac:dyDescent="0.3">
      <c r="A20" s="11">
        <v>19</v>
      </c>
      <c r="B20" s="22" t="s">
        <v>64</v>
      </c>
      <c r="C20" s="23">
        <v>127210.92</v>
      </c>
      <c r="D20" s="24">
        <v>100.83</v>
      </c>
      <c r="E20" s="24">
        <v>29.6</v>
      </c>
      <c r="F20" s="14">
        <f>IF(OR(D20&gt;=E20,D20=0),0,1)</f>
        <v>0</v>
      </c>
      <c r="G20" s="24">
        <v>29</v>
      </c>
      <c r="H20" s="24">
        <v>2.42</v>
      </c>
      <c r="I20" s="14">
        <f>IF(AND(H20&lt;=1,H20&gt;0),1,0)</f>
        <v>0</v>
      </c>
      <c r="J20" s="24">
        <v>1287.93</v>
      </c>
      <c r="K20" s="24">
        <v>875.23</v>
      </c>
      <c r="L20" s="24">
        <v>17.73</v>
      </c>
      <c r="M20" s="24">
        <v>15.77</v>
      </c>
      <c r="N20" s="14">
        <f>IF(AND(J20&gt;K20,L20&gt;=M20),1,0)</f>
        <v>1</v>
      </c>
      <c r="O20" s="15">
        <v>322.2</v>
      </c>
      <c r="P20" s="15">
        <v>314.89999999999998</v>
      </c>
      <c r="Q20" s="15">
        <v>285.89999999999998</v>
      </c>
      <c r="R20" s="15">
        <v>286.5</v>
      </c>
      <c r="S20" s="15">
        <v>235.1</v>
      </c>
      <c r="T20" s="15">
        <v>203.3</v>
      </c>
      <c r="U20" s="15">
        <v>200.1</v>
      </c>
      <c r="V20" s="15">
        <v>197.4</v>
      </c>
      <c r="W20" s="14">
        <f>IF(AND(O20&gt;S20,P20&gt;T20,Q20&gt;U20,R20&gt;V20),1,0)</f>
        <v>1</v>
      </c>
      <c r="X20" s="24">
        <v>2467.56</v>
      </c>
      <c r="Y20" s="24">
        <v>1406.01</v>
      </c>
      <c r="Z20" s="24">
        <v>30.81</v>
      </c>
      <c r="AA20" s="24">
        <v>23.17</v>
      </c>
      <c r="AB20" s="14">
        <f>IF(AND(X20&gt;Y20,Z20&gt;=AA20,X20&gt;0),1,0)</f>
        <v>1</v>
      </c>
      <c r="AC20" s="12" t="str">
        <f>IF(X20&gt;J20,"Yes","No")</f>
        <v>Yes</v>
      </c>
      <c r="AD20" s="14">
        <f>IF(X20&gt;J20,1,0)</f>
        <v>1</v>
      </c>
      <c r="AE20" s="16">
        <v>4126.5</v>
      </c>
      <c r="AF20" s="16">
        <v>2113.9</v>
      </c>
      <c r="AG20" s="17">
        <f>AE20/AF20</f>
        <v>1.9520790955106675</v>
      </c>
      <c r="AH20" s="16">
        <v>2648.4</v>
      </c>
      <c r="AI20" s="16">
        <v>1501.4</v>
      </c>
      <c r="AJ20" s="17">
        <f>AH20/AI20</f>
        <v>1.7639536432662848</v>
      </c>
      <c r="AK20" s="18">
        <f>IF(AG20&gt;=AJ20,1,0)</f>
        <v>1</v>
      </c>
      <c r="AL20" s="19">
        <v>0.09</v>
      </c>
      <c r="AM20" s="19">
        <v>0.18</v>
      </c>
      <c r="AN20" s="18">
        <f>IF(AL20&lt;=AM20,1,0)</f>
        <v>1</v>
      </c>
      <c r="AO20" s="19">
        <v>1.08</v>
      </c>
      <c r="AP20" s="19">
        <v>1.1299999999999999</v>
      </c>
      <c r="AQ20" s="18">
        <f>IF(AO20&gt;AP20,1,0)</f>
        <v>0</v>
      </c>
      <c r="AR20" s="19">
        <v>25.76</v>
      </c>
      <c r="AS20" s="19">
        <v>22.39</v>
      </c>
      <c r="AT20" s="14">
        <f>IF(AR20&gt;=AS20,1,0)</f>
        <v>1</v>
      </c>
      <c r="AU20" s="20">
        <f>SUM(I20,N20,AB20,AD20,AK20,AN20,AQ20,AT20,F20,W20)</f>
        <v>7</v>
      </c>
    </row>
    <row r="21" spans="1:47" ht="15.6" x14ac:dyDescent="0.3">
      <c r="A21" s="11">
        <v>20</v>
      </c>
      <c r="B21" s="22" t="s">
        <v>65</v>
      </c>
      <c r="C21" s="23">
        <v>121303.55</v>
      </c>
      <c r="D21" s="24">
        <v>60.07</v>
      </c>
      <c r="E21" s="24">
        <v>32.840000000000003</v>
      </c>
      <c r="F21" s="14">
        <f>IF(OR(D21&gt;=E21,D21=0),0,1)</f>
        <v>0</v>
      </c>
      <c r="G21" s="24">
        <v>15.98</v>
      </c>
      <c r="H21" s="24">
        <v>2.84</v>
      </c>
      <c r="I21" s="14">
        <f>IF(AND(H21&lt;=1,H21&gt;0),1,0)</f>
        <v>0</v>
      </c>
      <c r="J21" s="24">
        <v>1911.25</v>
      </c>
      <c r="K21" s="24">
        <v>1656.38</v>
      </c>
      <c r="L21" s="24">
        <v>16.63</v>
      </c>
      <c r="M21" s="24">
        <v>14.74</v>
      </c>
      <c r="N21" s="14">
        <f>IF(AND(J21&gt;K21,L21&gt;=M21),1,0)</f>
        <v>1</v>
      </c>
      <c r="O21" s="15">
        <v>498</v>
      </c>
      <c r="P21" s="15">
        <v>503</v>
      </c>
      <c r="Q21" s="15">
        <v>453</v>
      </c>
      <c r="R21" s="15">
        <v>457</v>
      </c>
      <c r="S21" s="15">
        <v>449</v>
      </c>
      <c r="T21" s="15">
        <v>443</v>
      </c>
      <c r="U21" s="15">
        <v>386</v>
      </c>
      <c r="V21" s="15">
        <v>378</v>
      </c>
      <c r="W21" s="14">
        <f>IF(AND(O21&gt;S21,P21&gt;T21,Q21&gt;U21,R21&gt;V21),1,0)</f>
        <v>1</v>
      </c>
      <c r="X21" s="24">
        <v>2585.11</v>
      </c>
      <c r="Y21" s="24">
        <v>3266.08</v>
      </c>
      <c r="Z21" s="24">
        <v>21.84</v>
      </c>
      <c r="AA21" s="24">
        <v>30.44</v>
      </c>
      <c r="AB21" s="14">
        <f>IF(AND(X21&gt;Y21,Z21&gt;=AA21,X21&gt;0),1,0)</f>
        <v>0</v>
      </c>
      <c r="AC21" s="12" t="str">
        <f>IF(X21&gt;J21,"Yes","No")</f>
        <v>Yes</v>
      </c>
      <c r="AD21" s="14">
        <f>IF(X21&gt;J21,1,0)</f>
        <v>1</v>
      </c>
      <c r="AE21" s="16">
        <v>5622.6</v>
      </c>
      <c r="AF21" s="16">
        <v>4717.2</v>
      </c>
      <c r="AG21" s="17">
        <f>AE21/AF21</f>
        <v>1.1919358941745104</v>
      </c>
      <c r="AH21" s="16">
        <v>5611.5</v>
      </c>
      <c r="AI21" s="16">
        <v>5425.3</v>
      </c>
      <c r="AJ21" s="17">
        <f>AH21/AI21</f>
        <v>1.0343206827272224</v>
      </c>
      <c r="AK21" s="18">
        <f>IF(AG21&gt;=AJ21,1,0)</f>
        <v>1</v>
      </c>
      <c r="AL21" s="19">
        <v>0.16</v>
      </c>
      <c r="AM21" s="19">
        <v>0.23</v>
      </c>
      <c r="AN21" s="18">
        <f>IF(AL21&lt;=AM21,1,0)</f>
        <v>1</v>
      </c>
      <c r="AO21" s="19">
        <v>0.77</v>
      </c>
      <c r="AP21" s="19">
        <v>0.71</v>
      </c>
      <c r="AQ21" s="18">
        <f>IF(AO21&gt;AP21,1,0)</f>
        <v>1</v>
      </c>
      <c r="AR21" s="19">
        <v>32.25</v>
      </c>
      <c r="AS21" s="19">
        <v>31.22</v>
      </c>
      <c r="AT21" s="14">
        <f>IF(AR21&gt;=AS21,1,0)</f>
        <v>1</v>
      </c>
      <c r="AU21" s="20">
        <f>SUM(I21,N21,AB21,AD21,AK21,AN21,AQ21,AT21,F21,W21)</f>
        <v>7</v>
      </c>
    </row>
    <row r="22" spans="1:47" ht="15.6" x14ac:dyDescent="0.3">
      <c r="A22" s="11">
        <v>21</v>
      </c>
      <c r="B22" s="22" t="s">
        <v>66</v>
      </c>
      <c r="C22" s="23">
        <v>118512.36</v>
      </c>
      <c r="D22" s="24">
        <v>39.99</v>
      </c>
      <c r="E22" s="24">
        <v>41.66</v>
      </c>
      <c r="F22" s="14">
        <f>IF(OR(D22&gt;=E22,D22=0),0,1)</f>
        <v>1</v>
      </c>
      <c r="G22" s="24">
        <v>5.87</v>
      </c>
      <c r="H22" s="24">
        <v>1.25</v>
      </c>
      <c r="I22" s="14">
        <f>IF(AND(H22&lt;=1,H22&gt;0),1,0)</f>
        <v>0</v>
      </c>
      <c r="J22" s="24">
        <v>2766.6</v>
      </c>
      <c r="K22" s="24">
        <v>1554.2</v>
      </c>
      <c r="L22" s="24">
        <v>20.079999999999998</v>
      </c>
      <c r="M22" s="24">
        <v>15.74</v>
      </c>
      <c r="N22" s="14">
        <f>IF(AND(J22&gt;K22,L22&gt;=M22),1,0)</f>
        <v>1</v>
      </c>
      <c r="O22" s="15">
        <v>674.7</v>
      </c>
      <c r="P22" s="15">
        <v>921.7</v>
      </c>
      <c r="Q22" s="15">
        <v>944.4</v>
      </c>
      <c r="R22" s="15">
        <v>422.9</v>
      </c>
      <c r="S22" s="15">
        <v>475.3</v>
      </c>
      <c r="T22" s="15">
        <v>665.5</v>
      </c>
      <c r="U22" s="15">
        <v>503.3</v>
      </c>
      <c r="V22" s="15">
        <v>201.9</v>
      </c>
      <c r="W22" s="14">
        <f>IF(AND(O22&gt;S22,P22&gt;T22,Q22&gt;U22,R22&gt;V22),1,0)</f>
        <v>1</v>
      </c>
      <c r="X22" s="24">
        <v>1565.6</v>
      </c>
      <c r="Y22" s="24">
        <v>2512.3000000000002</v>
      </c>
      <c r="Z22" s="24">
        <v>10.85</v>
      </c>
      <c r="AA22" s="24">
        <v>24.35</v>
      </c>
      <c r="AB22" s="14">
        <f>IF(AND(X22&gt;Y22,Z22&gt;=AA22,X22&gt;0),1,0)</f>
        <v>0</v>
      </c>
      <c r="AC22" s="12" t="str">
        <f>IF(X22&gt;J22,"Yes","No")</f>
        <v>No</v>
      </c>
      <c r="AD22" s="14">
        <f>IF(X22&gt;J22,1,0)</f>
        <v>0</v>
      </c>
      <c r="AE22" s="16">
        <v>46945.5</v>
      </c>
      <c r="AF22" s="16">
        <v>27815.9</v>
      </c>
      <c r="AG22" s="17">
        <f>AE22/AF22</f>
        <v>1.6877217706419709</v>
      </c>
      <c r="AH22" s="16">
        <v>44557.599999999999</v>
      </c>
      <c r="AI22" s="16">
        <v>27427.4</v>
      </c>
      <c r="AJ22" s="17">
        <f>AH22/AI22</f>
        <v>1.6245652158060915</v>
      </c>
      <c r="AK22" s="18">
        <f>IF(AG22&gt;=AJ22,1,0)</f>
        <v>1</v>
      </c>
      <c r="AL22" s="19">
        <v>0.06</v>
      </c>
      <c r="AM22" s="19">
        <v>0.11</v>
      </c>
      <c r="AN22" s="18">
        <f>IF(AL22&lt;=AM22,1,0)</f>
        <v>1</v>
      </c>
      <c r="AO22" s="19">
        <v>0.28000000000000003</v>
      </c>
      <c r="AP22" s="19">
        <v>0.24</v>
      </c>
      <c r="AQ22" s="18">
        <f>IF(AO22&gt;AP22,1,0)</f>
        <v>1</v>
      </c>
      <c r="AR22" s="19">
        <v>28.14</v>
      </c>
      <c r="AS22" s="19">
        <v>25.56</v>
      </c>
      <c r="AT22" s="14">
        <f>IF(AR22&gt;=AS22,1,0)</f>
        <v>1</v>
      </c>
      <c r="AU22" s="20">
        <f>SUM(I22,N22,AB22,AD22,AK22,AN22,AQ22,AT22,F22,W22)</f>
        <v>7</v>
      </c>
    </row>
    <row r="23" spans="1:47" ht="15.6" x14ac:dyDescent="0.3">
      <c r="A23" s="11">
        <v>22</v>
      </c>
      <c r="B23" s="22" t="s">
        <v>67</v>
      </c>
      <c r="C23" s="23">
        <v>113684.59</v>
      </c>
      <c r="D23" s="24">
        <v>52.4</v>
      </c>
      <c r="E23" s="24">
        <v>52.4</v>
      </c>
      <c r="F23" s="14">
        <f>IF(OR(D23&gt;=E23,D23=0),0,1)</f>
        <v>0</v>
      </c>
      <c r="G23" s="24">
        <v>14.32</v>
      </c>
      <c r="H23" s="24">
        <v>0.91</v>
      </c>
      <c r="I23" s="14">
        <f>IF(AND(H23&lt;=1,H23&gt;0),1,0)</f>
        <v>1</v>
      </c>
      <c r="J23" s="24">
        <v>2413.5100000000002</v>
      </c>
      <c r="K23" s="24">
        <v>1936.97</v>
      </c>
      <c r="L23" s="24">
        <v>21.11</v>
      </c>
      <c r="M23" s="24">
        <v>20.45</v>
      </c>
      <c r="N23" s="14">
        <f>IF(AND(J23&gt;K23,L23&gt;=M23),1,0)</f>
        <v>1</v>
      </c>
      <c r="O23" s="15">
        <v>452.2</v>
      </c>
      <c r="P23" s="15">
        <v>325.3</v>
      </c>
      <c r="Q23" s="15">
        <v>807</v>
      </c>
      <c r="R23" s="15">
        <v>585.1</v>
      </c>
      <c r="S23" s="15">
        <v>696.1</v>
      </c>
      <c r="T23" s="15">
        <v>663</v>
      </c>
      <c r="U23" s="15">
        <v>626.79999999999995</v>
      </c>
      <c r="V23" s="15">
        <v>332.9</v>
      </c>
      <c r="W23" s="14">
        <f>IF(AND(O23&gt;S23,P23&gt;T23,Q23&gt;U23,R23&gt;V23),1,0)</f>
        <v>0</v>
      </c>
      <c r="X23" s="24">
        <v>2078.0500000000002</v>
      </c>
      <c r="Y23" s="24">
        <v>683.75</v>
      </c>
      <c r="Z23" s="24">
        <v>17.760000000000002</v>
      </c>
      <c r="AA23" s="24">
        <v>7.22</v>
      </c>
      <c r="AB23" s="14">
        <f>IF(AND(X23&gt;Y23,Z23&gt;=AA23,X23&gt;0),1,0)</f>
        <v>1</v>
      </c>
      <c r="AC23" s="12" t="str">
        <f>IF(X23&gt;J23,"Yes","No")</f>
        <v>No</v>
      </c>
      <c r="AD23" s="14">
        <f>IF(X23&gt;J23,1,0)</f>
        <v>0</v>
      </c>
      <c r="AE23" s="16">
        <v>24713.8</v>
      </c>
      <c r="AF23" s="25">
        <v>19823</v>
      </c>
      <c r="AG23" s="17">
        <f>AE23/AF23</f>
        <v>1.2467235030015638</v>
      </c>
      <c r="AH23" s="16">
        <v>25788.2</v>
      </c>
      <c r="AI23" s="16">
        <v>22634.400000000001</v>
      </c>
      <c r="AJ23" s="17">
        <f>AH23/AI23</f>
        <v>1.13933658502103</v>
      </c>
      <c r="AK23" s="18">
        <f>IF(AG23&gt;=AJ23,1,0)</f>
        <v>1</v>
      </c>
      <c r="AL23" s="19">
        <v>0</v>
      </c>
      <c r="AM23" s="19">
        <v>0</v>
      </c>
      <c r="AN23" s="18">
        <f>IF(AL23&lt;=AM23,1,0)</f>
        <v>1</v>
      </c>
      <c r="AO23" s="19">
        <v>0.39</v>
      </c>
      <c r="AP23" s="19">
        <v>0.32</v>
      </c>
      <c r="AQ23" s="18">
        <f>IF(AO23&gt;AP23,1,0)</f>
        <v>1</v>
      </c>
      <c r="AR23" s="19">
        <v>16.41</v>
      </c>
      <c r="AS23" s="19">
        <v>13.36</v>
      </c>
      <c r="AT23" s="14">
        <f>IF(AR23&gt;=AS23,1,0)</f>
        <v>1</v>
      </c>
      <c r="AU23" s="20">
        <f>SUM(I23,N23,AB23,AD23,AK23,AN23,AQ23,AT23,F23,W23)</f>
        <v>7</v>
      </c>
    </row>
    <row r="24" spans="1:47" ht="15.6" x14ac:dyDescent="0.3">
      <c r="A24" s="11">
        <v>23</v>
      </c>
      <c r="B24" s="22" t="s">
        <v>68</v>
      </c>
      <c r="C24" s="23">
        <v>111887.95</v>
      </c>
      <c r="D24" s="24">
        <v>22.21</v>
      </c>
      <c r="E24" s="24">
        <v>33.65</v>
      </c>
      <c r="F24" s="14">
        <f>IF(OR(D24&gt;=E24,D24=0),0,1)</f>
        <v>1</v>
      </c>
      <c r="G24" s="24">
        <v>5.8</v>
      </c>
      <c r="H24" s="24">
        <v>0.93</v>
      </c>
      <c r="I24" s="14">
        <f>IF(AND(H24&lt;=1,H24&gt;0),1,0)</f>
        <v>1</v>
      </c>
      <c r="J24" s="24">
        <v>4375.8100000000004</v>
      </c>
      <c r="K24" s="24">
        <v>3742.16</v>
      </c>
      <c r="L24" s="24">
        <v>10.41</v>
      </c>
      <c r="M24" s="24">
        <v>9.98</v>
      </c>
      <c r="N24" s="14">
        <f>IF(AND(J24&gt;K24,L24&gt;=M24),1,0)</f>
        <v>1</v>
      </c>
      <c r="O24" s="15">
        <v>1161.3</v>
      </c>
      <c r="P24" s="15">
        <v>1107.5999999999999</v>
      </c>
      <c r="Q24" s="15">
        <v>1063.7</v>
      </c>
      <c r="R24" s="15">
        <v>1045.9000000000001</v>
      </c>
      <c r="S24" s="15">
        <v>935</v>
      </c>
      <c r="T24" s="15">
        <v>1093.4000000000001</v>
      </c>
      <c r="U24" s="15">
        <v>1006.3</v>
      </c>
      <c r="V24" s="15">
        <v>710.1</v>
      </c>
      <c r="W24" s="14">
        <f>IF(AND(O24&gt;S24,P24&gt;T24,Q24&gt;U24,R24&gt;V24),1,0)</f>
        <v>1</v>
      </c>
      <c r="X24" s="24">
        <v>4297.3900000000003</v>
      </c>
      <c r="Y24" s="24">
        <v>4923.07</v>
      </c>
      <c r="Z24" s="24">
        <v>10.63</v>
      </c>
      <c r="AA24" s="24">
        <v>13.03</v>
      </c>
      <c r="AB24" s="14">
        <f>IF(AND(X24&gt;Y24,Z24&gt;=AA24,X24&gt;0),1,0)</f>
        <v>0</v>
      </c>
      <c r="AC24" s="12" t="str">
        <f>IF(X24&gt;J24,"Yes","No")</f>
        <v>No</v>
      </c>
      <c r="AD24" s="14">
        <f>IF(X24&gt;J24,1,0)</f>
        <v>0</v>
      </c>
      <c r="AE24" s="16">
        <v>13433.9</v>
      </c>
      <c r="AF24" s="25">
        <v>7476</v>
      </c>
      <c r="AG24" s="17">
        <f>AE24/AF24</f>
        <v>1.7969368646334938</v>
      </c>
      <c r="AH24" s="16">
        <v>10315.5</v>
      </c>
      <c r="AI24" s="16">
        <v>7048.4</v>
      </c>
      <c r="AJ24" s="17">
        <f>AH24/AI24</f>
        <v>1.4635236365700017</v>
      </c>
      <c r="AK24" s="18">
        <f>IF(AG24&gt;=AJ24,1,0)</f>
        <v>1</v>
      </c>
      <c r="AL24" s="19">
        <v>0</v>
      </c>
      <c r="AM24" s="19">
        <v>0</v>
      </c>
      <c r="AN24" s="18">
        <f>IF(AL24&lt;=AM24,1,0)</f>
        <v>1</v>
      </c>
      <c r="AO24" s="19">
        <v>1.5</v>
      </c>
      <c r="AP24" s="19">
        <v>1.51</v>
      </c>
      <c r="AQ24" s="18">
        <f>IF(AO24&gt;AP24,1,0)</f>
        <v>0</v>
      </c>
      <c r="AR24" s="19">
        <v>14.17</v>
      </c>
      <c r="AS24" s="19">
        <v>13.84</v>
      </c>
      <c r="AT24" s="14">
        <f>IF(AR24&gt;=AS24,1,0)</f>
        <v>1</v>
      </c>
      <c r="AU24" s="20">
        <f>SUM(I24,N24,AB24,AD24,AK24,AN24,AQ24,AT24,F24,W24)</f>
        <v>7</v>
      </c>
    </row>
    <row r="25" spans="1:47" ht="15.6" x14ac:dyDescent="0.3">
      <c r="A25" s="11">
        <v>24</v>
      </c>
      <c r="B25" s="22" t="s">
        <v>69</v>
      </c>
      <c r="C25" s="23">
        <v>110234.74</v>
      </c>
      <c r="D25" s="24">
        <v>61.29</v>
      </c>
      <c r="E25" s="24">
        <v>49.5</v>
      </c>
      <c r="F25" s="14">
        <f>IF(OR(D25&gt;=E25,D25=0),0,1)</f>
        <v>0</v>
      </c>
      <c r="G25" s="24">
        <v>15.32</v>
      </c>
      <c r="H25" s="24">
        <v>0.97</v>
      </c>
      <c r="I25" s="14">
        <f>IF(AND(H25&lt;=1,H25&gt;0),1,0)</f>
        <v>1</v>
      </c>
      <c r="J25" s="24">
        <v>1871.64</v>
      </c>
      <c r="K25" s="24">
        <v>1242.05</v>
      </c>
      <c r="L25" s="24">
        <v>15.39</v>
      </c>
      <c r="M25" s="24">
        <v>11.94</v>
      </c>
      <c r="N25" s="14">
        <f>IF(AND(J25&gt;K25,L25&gt;=M25),1,0)</f>
        <v>1</v>
      </c>
      <c r="O25" s="15">
        <v>474.6</v>
      </c>
      <c r="P25" s="15">
        <v>528.4</v>
      </c>
      <c r="Q25" s="15">
        <v>440.5</v>
      </c>
      <c r="R25" s="15">
        <v>443.5</v>
      </c>
      <c r="S25" s="15">
        <v>459.3</v>
      </c>
      <c r="T25" s="15">
        <v>338.7</v>
      </c>
      <c r="U25" s="15">
        <v>362.9</v>
      </c>
      <c r="V25" s="15">
        <v>295.60000000000002</v>
      </c>
      <c r="W25" s="14">
        <f>IF(AND(O25&gt;S25,P25&gt;T25,Q25&gt;U25,R25&gt;V25),1,0)</f>
        <v>1</v>
      </c>
      <c r="X25" s="24">
        <v>1331.8</v>
      </c>
      <c r="Y25" s="24">
        <v>1351.48</v>
      </c>
      <c r="Z25" s="24">
        <v>10.56</v>
      </c>
      <c r="AA25" s="24">
        <v>12.94</v>
      </c>
      <c r="AB25" s="14">
        <f>IF(AND(X25&gt;Y25,Z25&gt;=AA25,X25&gt;0),1,0)</f>
        <v>0</v>
      </c>
      <c r="AC25" s="12" t="str">
        <f>IF(X25&gt;J25,"Yes","No")</f>
        <v>No</v>
      </c>
      <c r="AD25" s="14">
        <f>IF(X25&gt;J25,1,0)</f>
        <v>0</v>
      </c>
      <c r="AE25" s="16">
        <v>10762.6</v>
      </c>
      <c r="AF25" s="25">
        <v>5274</v>
      </c>
      <c r="AG25" s="17">
        <f>AE25/AF25</f>
        <v>2.0406901782328406</v>
      </c>
      <c r="AH25" s="16">
        <v>9547.5</v>
      </c>
      <c r="AI25" s="16">
        <v>5014.2</v>
      </c>
      <c r="AJ25" s="17">
        <f>AH25/AI25</f>
        <v>1.9040923776474812</v>
      </c>
      <c r="AK25" s="18">
        <f>IF(AG25&gt;=AJ25,1,0)</f>
        <v>1</v>
      </c>
      <c r="AL25" s="19">
        <v>0</v>
      </c>
      <c r="AM25" s="19">
        <v>0</v>
      </c>
      <c r="AN25" s="18">
        <f>IF(AL25&lt;=AM25,1,0)</f>
        <v>1</v>
      </c>
      <c r="AO25" s="19">
        <v>1.04</v>
      </c>
      <c r="AP25" s="19">
        <v>1.03</v>
      </c>
      <c r="AQ25" s="18">
        <f>IF(AO25&gt;AP25,1,0)</f>
        <v>1</v>
      </c>
      <c r="AR25" s="19">
        <v>18.38</v>
      </c>
      <c r="AS25" s="19">
        <v>13.86</v>
      </c>
      <c r="AT25" s="14">
        <f>IF(AR25&gt;=AS25,1,0)</f>
        <v>1</v>
      </c>
      <c r="AU25" s="20">
        <f>SUM(I25,N25,AB25,AD25,AK25,AN25,AQ25,AT25,F25,W25)</f>
        <v>7</v>
      </c>
    </row>
    <row r="26" spans="1:47" ht="15.6" x14ac:dyDescent="0.3">
      <c r="A26" s="11">
        <v>25</v>
      </c>
      <c r="B26" s="22" t="s">
        <v>70</v>
      </c>
      <c r="C26" s="23">
        <v>104679.21</v>
      </c>
      <c r="D26" s="24">
        <v>60.99</v>
      </c>
      <c r="E26" s="24">
        <v>35.369999999999997</v>
      </c>
      <c r="F26" s="14">
        <f>IF(OR(D26&gt;=E26,D26=0),0,1)</f>
        <v>0</v>
      </c>
      <c r="G26" s="24">
        <v>9.3800000000000008</v>
      </c>
      <c r="H26" s="24">
        <v>0.63</v>
      </c>
      <c r="I26" s="14">
        <f>IF(AND(H26&lt;=1,H26&gt;0),1,0)</f>
        <v>1</v>
      </c>
      <c r="J26" s="24">
        <v>2038.09</v>
      </c>
      <c r="K26" s="24">
        <v>1330.24</v>
      </c>
      <c r="L26" s="24">
        <v>21.3</v>
      </c>
      <c r="M26" s="24">
        <v>19.399999999999999</v>
      </c>
      <c r="N26" s="14">
        <f>IF(AND(J26&gt;K26,L26&gt;=M26),1,0)</f>
        <v>1</v>
      </c>
      <c r="O26" s="15">
        <v>522.29999999999995</v>
      </c>
      <c r="P26" s="15">
        <v>582.29999999999995</v>
      </c>
      <c r="Q26" s="15">
        <v>554.6</v>
      </c>
      <c r="R26" s="15">
        <v>248.4</v>
      </c>
      <c r="S26" s="15">
        <v>417.8</v>
      </c>
      <c r="T26" s="15">
        <v>452</v>
      </c>
      <c r="U26" s="15">
        <v>166.9</v>
      </c>
      <c r="V26" s="15">
        <v>222.4</v>
      </c>
      <c r="W26" s="14">
        <f>IF(AND(O26&gt;S26,P26&gt;T26,Q26&gt;U26,R26&gt;V26),1,0)</f>
        <v>1</v>
      </c>
      <c r="X26" s="24">
        <v>2194.37</v>
      </c>
      <c r="Y26" s="24">
        <v>1935.14</v>
      </c>
      <c r="Z26" s="24">
        <v>24.86</v>
      </c>
      <c r="AA26" s="24">
        <v>28.59</v>
      </c>
      <c r="AB26" s="14">
        <f>IF(AND(X26&gt;Y26,Z26&gt;=AA26,X26&gt;0),1,0)</f>
        <v>0</v>
      </c>
      <c r="AC26" s="12" t="str">
        <f>IF(X26&gt;J26,"Yes","No")</f>
        <v>Yes</v>
      </c>
      <c r="AD26" s="14">
        <f>IF(X26&gt;J26,1,0)</f>
        <v>1</v>
      </c>
      <c r="AE26" s="26">
        <v>4169.8999999999996</v>
      </c>
      <c r="AF26" s="26">
        <v>1996.2</v>
      </c>
      <c r="AG26" s="17">
        <f>AE26/AF26</f>
        <v>2.0889189459973947</v>
      </c>
      <c r="AH26" s="26">
        <v>3068.4</v>
      </c>
      <c r="AI26" s="26">
        <v>1998.3</v>
      </c>
      <c r="AJ26" s="17">
        <f>AH26/AI26</f>
        <v>1.5355051794024921</v>
      </c>
      <c r="AK26" s="18">
        <f>IF(AG26&gt;=AJ26,1,0)</f>
        <v>1</v>
      </c>
      <c r="AL26" s="28">
        <v>0.02</v>
      </c>
      <c r="AM26" s="28">
        <v>0</v>
      </c>
      <c r="AN26" s="18">
        <f>IF(AL26&lt;=AM26,1,0)</f>
        <v>0</v>
      </c>
      <c r="AO26" s="28">
        <v>0.51</v>
      </c>
      <c r="AP26" s="28">
        <v>0.47</v>
      </c>
      <c r="AQ26" s="18">
        <f>IF(AO26&gt;AP26,1,0)</f>
        <v>1</v>
      </c>
      <c r="AR26" s="28">
        <v>32.33</v>
      </c>
      <c r="AS26" s="28">
        <v>31.03</v>
      </c>
      <c r="AT26" s="14">
        <f>IF(AR26&gt;=AS26,1,0)</f>
        <v>1</v>
      </c>
      <c r="AU26" s="20">
        <f>SUM(I26,N26,AB26,AD26,AK26,AN26,AQ26,AT26,F26,W26)</f>
        <v>7</v>
      </c>
    </row>
    <row r="27" spans="1:47" ht="15.6" x14ac:dyDescent="0.3">
      <c r="A27" s="11">
        <v>26</v>
      </c>
      <c r="B27" s="22" t="s">
        <v>71</v>
      </c>
      <c r="C27" s="23">
        <v>94258.44</v>
      </c>
      <c r="D27" s="24"/>
      <c r="E27" s="24">
        <v>55.03</v>
      </c>
      <c r="F27" s="14">
        <f>IF(OR(D27&gt;=E27,D27=0),0,1)</f>
        <v>0</v>
      </c>
      <c r="G27" s="24"/>
      <c r="H27" s="24"/>
      <c r="I27" s="14">
        <f>IF(AND(H27&lt;=1,H27&gt;0),1,0)</f>
        <v>0</v>
      </c>
      <c r="J27" s="24">
        <v>-27383.4</v>
      </c>
      <c r="K27" s="24">
        <v>-31238.400000000001</v>
      </c>
      <c r="L27" s="24">
        <v>-63.07</v>
      </c>
      <c r="M27" s="24">
        <v>-75.180000000000007</v>
      </c>
      <c r="N27" s="14">
        <f>IF(AND(J27&gt;K27,L27&gt;=M27),1,0)</f>
        <v>1</v>
      </c>
      <c r="O27" s="15">
        <v>-7166.1</v>
      </c>
      <c r="P27" s="15">
        <v>-6609.3</v>
      </c>
      <c r="Q27" s="15">
        <v>-7175.9</v>
      </c>
      <c r="R27" s="15">
        <v>-6432.1</v>
      </c>
      <c r="S27" s="15">
        <v>-7674.6</v>
      </c>
      <c r="T27" s="15">
        <v>-6985.9</v>
      </c>
      <c r="U27" s="15">
        <v>-8737.9</v>
      </c>
      <c r="V27" s="15">
        <v>-7840</v>
      </c>
      <c r="W27" s="14">
        <f>IF(AND(O27&gt;S27,P27&gt;T27,Q27&gt;U27,R27&gt;V27),1,0)</f>
        <v>1</v>
      </c>
      <c r="X27" s="24">
        <v>9290.6</v>
      </c>
      <c r="Y27" s="24">
        <v>20826.099999999999</v>
      </c>
      <c r="Z27" s="24">
        <v>21.07</v>
      </c>
      <c r="AA27" s="24">
        <v>48.83</v>
      </c>
      <c r="AB27" s="14">
        <f>IF(AND(X27&gt;Y27,Z27&gt;=AA27,X27&gt;0),1,0)</f>
        <v>0</v>
      </c>
      <c r="AC27" s="12" t="str">
        <f>IF(X27&gt;J27,"Yes","No")</f>
        <v>Yes</v>
      </c>
      <c r="AD27" s="14">
        <f>IF(X27&gt;J27,1,0)</f>
        <v>1</v>
      </c>
      <c r="AE27" s="26">
        <v>31039.5</v>
      </c>
      <c r="AF27" s="26">
        <v>55613.9</v>
      </c>
      <c r="AG27" s="17">
        <f>AE27/AF27</f>
        <v>0.55812485727488992</v>
      </c>
      <c r="AH27" s="26">
        <v>12909.8</v>
      </c>
      <c r="AI27" s="26">
        <v>54141.3</v>
      </c>
      <c r="AJ27" s="17">
        <f>AH27/AI27</f>
        <v>0.23844643553073161</v>
      </c>
      <c r="AK27" s="18">
        <f>IF(AG27&gt;=AJ27,1,0)</f>
        <v>1</v>
      </c>
      <c r="AL27" s="28">
        <v>-2.6</v>
      </c>
      <c r="AM27" s="28">
        <v>-1.95</v>
      </c>
      <c r="AN27" s="18">
        <f>IF(AL27&lt;=AM27,1,0)</f>
        <v>1</v>
      </c>
      <c r="AO27" s="28">
        <v>0.23</v>
      </c>
      <c r="AP27" s="28">
        <v>0.22</v>
      </c>
      <c r="AQ27" s="18">
        <f>IF(AO27&gt;AP27,1,0)</f>
        <v>1</v>
      </c>
      <c r="AR27" s="28">
        <v>40.65</v>
      </c>
      <c r="AS27" s="28">
        <v>40.049999999999997</v>
      </c>
      <c r="AT27" s="14">
        <f>IF(AR27&gt;=AS27,1,0)</f>
        <v>1</v>
      </c>
      <c r="AU27" s="20">
        <f>SUM(I27,N27,AB27,AD27,AK27,AN27,AQ27,AT27,F27,W27)</f>
        <v>7</v>
      </c>
    </row>
    <row r="28" spans="1:47" ht="15.6" x14ac:dyDescent="0.3">
      <c r="A28" s="11">
        <v>27</v>
      </c>
      <c r="B28" s="22" t="s">
        <v>72</v>
      </c>
      <c r="C28" s="23">
        <v>74773.34</v>
      </c>
      <c r="D28" s="24">
        <v>17.54</v>
      </c>
      <c r="E28" s="24">
        <v>7.53</v>
      </c>
      <c r="F28" s="14">
        <f>IF(OR(D28&gt;=E28,D28=0),0,1)</f>
        <v>0</v>
      </c>
      <c r="G28" s="24">
        <v>2.15</v>
      </c>
      <c r="H28" s="24">
        <v>0.7</v>
      </c>
      <c r="I28" s="14">
        <f>IF(AND(H28&lt;=1,H28&gt;0),1,0)</f>
        <v>1</v>
      </c>
      <c r="J28" s="24">
        <v>3334.71</v>
      </c>
      <c r="K28" s="24">
        <v>2655.62</v>
      </c>
      <c r="L28" s="24">
        <v>11.85</v>
      </c>
      <c r="M28" s="24">
        <v>11.04</v>
      </c>
      <c r="N28" s="14">
        <f>IF(AND(J28&gt;K28,L28&gt;=M28),1,0)</f>
        <v>1</v>
      </c>
      <c r="O28" s="15">
        <v>1178.5</v>
      </c>
      <c r="P28" s="15">
        <v>1091.9000000000001</v>
      </c>
      <c r="Q28" s="15">
        <v>875.3</v>
      </c>
      <c r="R28" s="15">
        <v>779.6</v>
      </c>
      <c r="S28" s="15">
        <v>648.70000000000005</v>
      </c>
      <c r="T28" s="15">
        <v>810.4</v>
      </c>
      <c r="U28" s="15">
        <v>724.1</v>
      </c>
      <c r="V28" s="15">
        <v>627.20000000000005</v>
      </c>
      <c r="W28" s="14">
        <f>IF(AND(O28&gt;S28,P28&gt;T28,Q28&gt;U28,R28&gt;V28),1,0)</f>
        <v>1</v>
      </c>
      <c r="X28" s="24">
        <v>2963.19</v>
      </c>
      <c r="Y28" s="24">
        <v>-1165.42</v>
      </c>
      <c r="Z28" s="24">
        <v>9.8800000000000008</v>
      </c>
      <c r="AA28" s="24">
        <v>-4.8499999999999996</v>
      </c>
      <c r="AB28" s="14">
        <f>IF(AND(X28&gt;Y28,Z28&gt;=AA28,X28&gt;0),1,0)</f>
        <v>1</v>
      </c>
      <c r="AC28" s="12" t="str">
        <f>IF(X28&gt;J28,"Yes","No")</f>
        <v>No</v>
      </c>
      <c r="AD28" s="14">
        <f>IF(X28&gt;J28,1,0)</f>
        <v>0</v>
      </c>
      <c r="AE28" s="26">
        <v>3853.2</v>
      </c>
      <c r="AF28" s="28">
        <v>751.3</v>
      </c>
      <c r="AG28" s="17">
        <f>AE28/AF28</f>
        <v>5.1287102355916412</v>
      </c>
      <c r="AH28" s="26">
        <v>4822.5</v>
      </c>
      <c r="AI28" s="28">
        <v>603.20000000000005</v>
      </c>
      <c r="AJ28" s="17">
        <f>AH28/AI28</f>
        <v>7.99486074270557</v>
      </c>
      <c r="AK28" s="18">
        <f>IF(AG28&gt;=AJ28,1,0)</f>
        <v>0</v>
      </c>
      <c r="AL28" s="28">
        <v>0</v>
      </c>
      <c r="AM28" s="28">
        <v>0</v>
      </c>
      <c r="AN28" s="18">
        <f>IF(AL28&lt;=AM28,1,0)</f>
        <v>1</v>
      </c>
      <c r="AO28" s="28">
        <v>0.7</v>
      </c>
      <c r="AP28" s="28">
        <v>0.53</v>
      </c>
      <c r="AQ28" s="18">
        <f>IF(AO28&gt;AP28,1,0)</f>
        <v>1</v>
      </c>
      <c r="AR28" s="28">
        <v>1.74</v>
      </c>
      <c r="AS28" s="28">
        <v>-4.88</v>
      </c>
      <c r="AT28" s="14">
        <f>IF(AR28&gt;=AS28,1,0)</f>
        <v>1</v>
      </c>
      <c r="AU28" s="20">
        <f>SUM(I28,N28,AB28,AD28,AK28,AN28,AQ28,AT28,F28,W28)</f>
        <v>7</v>
      </c>
    </row>
    <row r="29" spans="1:47" ht="15.6" x14ac:dyDescent="0.3">
      <c r="A29" s="11">
        <v>28</v>
      </c>
      <c r="B29" s="22" t="s">
        <v>73</v>
      </c>
      <c r="C29" s="23">
        <v>74719.44</v>
      </c>
      <c r="D29" s="24">
        <v>936.8</v>
      </c>
      <c r="E29" s="24">
        <v>38.79</v>
      </c>
      <c r="F29" s="14">
        <f>IF(OR(D29&gt;=E29,D29=0),0,1)</f>
        <v>0</v>
      </c>
      <c r="G29" s="24">
        <v>57.38</v>
      </c>
      <c r="H29" s="24">
        <v>54.56</v>
      </c>
      <c r="I29" s="14">
        <f>IF(AND(H29&lt;=1,H29&gt;0),1,0)</f>
        <v>0</v>
      </c>
      <c r="J29" s="24">
        <v>72.069999999999993</v>
      </c>
      <c r="K29" s="24">
        <v>39.74</v>
      </c>
      <c r="L29" s="24">
        <v>0.91</v>
      </c>
      <c r="M29" s="24">
        <v>0.62</v>
      </c>
      <c r="N29" s="14">
        <f>IF(AND(J29&gt;K29,L29&gt;=M29),1,0)</f>
        <v>1</v>
      </c>
      <c r="O29" s="15">
        <v>20.3</v>
      </c>
      <c r="P29" s="15">
        <v>26.1</v>
      </c>
      <c r="Q29" s="15">
        <v>10</v>
      </c>
      <c r="R29" s="15">
        <v>9.6</v>
      </c>
      <c r="S29" s="15">
        <v>6.9</v>
      </c>
      <c r="T29" s="15">
        <v>16.2</v>
      </c>
      <c r="U29" s="15">
        <v>5.9</v>
      </c>
      <c r="V29" s="15">
        <v>3.3</v>
      </c>
      <c r="W29" s="14">
        <f>IF(AND(O29&gt;S29,P29&gt;T29,Q29&gt;U29,R29&gt;V29),1,0)</f>
        <v>1</v>
      </c>
      <c r="X29" s="24">
        <v>466.63</v>
      </c>
      <c r="Y29" s="24">
        <v>0.25</v>
      </c>
      <c r="Z29" s="24">
        <v>5.58</v>
      </c>
      <c r="AA29" s="24">
        <v>0</v>
      </c>
      <c r="AB29" s="14">
        <f>IF(AND(X29&gt;Y29,Z29&gt;=AA29,X29&gt;0),1,0)</f>
        <v>1</v>
      </c>
      <c r="AC29" s="12" t="str">
        <f>IF(X29&gt;J29,"Yes","No")</f>
        <v>Yes</v>
      </c>
      <c r="AD29" s="14">
        <f>IF(X29&gt;J29,1,0)</f>
        <v>1</v>
      </c>
      <c r="AE29" s="26">
        <v>2677.1</v>
      </c>
      <c r="AF29" s="26">
        <v>2160.6</v>
      </c>
      <c r="AG29" s="17">
        <f>AE29/AF29</f>
        <v>1.2390539664907896</v>
      </c>
      <c r="AH29" s="27">
        <v>2293</v>
      </c>
      <c r="AI29" s="26">
        <v>1878.9</v>
      </c>
      <c r="AJ29" s="17">
        <f>AH29/AI29</f>
        <v>1.2203949119165469</v>
      </c>
      <c r="AK29" s="18">
        <f>IF(AG29&gt;=AJ29,1,0)</f>
        <v>1</v>
      </c>
      <c r="AL29" s="28">
        <v>0.08</v>
      </c>
      <c r="AM29" s="28">
        <v>0</v>
      </c>
      <c r="AN29" s="18">
        <f>IF(AL29&lt;=AM29,1,0)</f>
        <v>0</v>
      </c>
      <c r="AO29" s="28">
        <v>2.15</v>
      </c>
      <c r="AP29" s="28">
        <v>2.0099999999999998</v>
      </c>
      <c r="AQ29" s="18">
        <f>IF(AO29&gt;AP29,1,0)</f>
        <v>1</v>
      </c>
      <c r="AR29" s="28">
        <v>5.94</v>
      </c>
      <c r="AS29" s="28">
        <v>5.4</v>
      </c>
      <c r="AT29" s="14">
        <f>IF(AR29&gt;=AS29,1,0)</f>
        <v>1</v>
      </c>
      <c r="AU29" s="20">
        <f>SUM(I29,N29,AB29,AD29,AK29,AN29,AQ29,AT29,F29,W29)</f>
        <v>7</v>
      </c>
    </row>
    <row r="30" spans="1:47" ht="15.6" x14ac:dyDescent="0.3">
      <c r="A30" s="11">
        <v>29</v>
      </c>
      <c r="B30" s="22" t="s">
        <v>74</v>
      </c>
      <c r="C30" s="23">
        <v>71968.89</v>
      </c>
      <c r="D30" s="24">
        <v>34.369999999999997</v>
      </c>
      <c r="E30" s="24">
        <v>49.5</v>
      </c>
      <c r="F30" s="14">
        <f>IF(OR(D30&gt;=E30,D30=0),0,1)</f>
        <v>1</v>
      </c>
      <c r="G30" s="24">
        <v>11.73</v>
      </c>
      <c r="H30" s="24">
        <v>0.18</v>
      </c>
      <c r="I30" s="14">
        <f>IF(AND(H30&lt;=1,H30&gt;0),1,0)</f>
        <v>1</v>
      </c>
      <c r="J30" s="24">
        <v>2071.63</v>
      </c>
      <c r="K30" s="24">
        <v>660.35</v>
      </c>
      <c r="L30" s="24">
        <v>19.079999999999998</v>
      </c>
      <c r="M30" s="24">
        <v>11.06</v>
      </c>
      <c r="N30" s="14">
        <f>IF(AND(J30&gt;K30,L30&gt;=M30),1,0)</f>
        <v>1</v>
      </c>
      <c r="O30" s="15">
        <v>1182.2</v>
      </c>
      <c r="P30" s="15">
        <v>386.9</v>
      </c>
      <c r="Q30" s="15">
        <v>200.2</v>
      </c>
      <c r="R30" s="15">
        <v>302.3</v>
      </c>
      <c r="S30" s="15">
        <v>254.1</v>
      </c>
      <c r="T30" s="15">
        <v>203</v>
      </c>
      <c r="U30" s="15">
        <v>102.3</v>
      </c>
      <c r="V30" s="15">
        <v>100.9</v>
      </c>
      <c r="W30" s="14">
        <f>IF(AND(O30&gt;S30,P30&gt;T30,Q30&gt;U30,R30&gt;V30),1,0)</f>
        <v>1</v>
      </c>
      <c r="X30" s="24">
        <v>1091.96</v>
      </c>
      <c r="Y30" s="24">
        <v>79.53</v>
      </c>
      <c r="Z30" s="24">
        <v>9.1</v>
      </c>
      <c r="AA30" s="24">
        <v>1.22</v>
      </c>
      <c r="AB30" s="14">
        <f>IF(AND(X30&gt;Y30,Z30&gt;=AA30,X30&gt;0),1,0)</f>
        <v>1</v>
      </c>
      <c r="AC30" s="12" t="str">
        <f>IF(X30&gt;J30,"Yes","No")</f>
        <v>No</v>
      </c>
      <c r="AD30" s="14">
        <f>IF(X30&gt;J30,1,0)</f>
        <v>0</v>
      </c>
      <c r="AE30" s="26">
        <v>9251.7000000000007</v>
      </c>
      <c r="AF30" s="26">
        <v>5914.6</v>
      </c>
      <c r="AG30" s="17">
        <f>AE30/AF30</f>
        <v>1.5642139789673013</v>
      </c>
      <c r="AH30" s="26">
        <v>5287.7</v>
      </c>
      <c r="AI30" s="26">
        <v>3008.9</v>
      </c>
      <c r="AJ30" s="17">
        <f>AH30/AI30</f>
        <v>1.7573531855495363</v>
      </c>
      <c r="AK30" s="18">
        <f>IF(AG30&gt;=AJ30,1,0)</f>
        <v>0</v>
      </c>
      <c r="AL30" s="28">
        <v>0.02</v>
      </c>
      <c r="AM30" s="28">
        <v>0.01</v>
      </c>
      <c r="AN30" s="18">
        <f>IF(AL30&lt;=AM30,1,0)</f>
        <v>0</v>
      </c>
      <c r="AO30" s="28">
        <v>1.08</v>
      </c>
      <c r="AP30" s="28">
        <v>1.03</v>
      </c>
      <c r="AQ30" s="18">
        <f>IF(AO30&gt;AP30,1,0)</f>
        <v>1</v>
      </c>
      <c r="AR30" s="28">
        <v>16.89</v>
      </c>
      <c r="AS30" s="28">
        <v>15.67</v>
      </c>
      <c r="AT30" s="14">
        <f>IF(AR30&gt;=AS30,1,0)</f>
        <v>1</v>
      </c>
      <c r="AU30" s="20">
        <f>SUM(I30,N30,AB30,AD30,AK30,AN30,AQ30,AT30,F30,W30)</f>
        <v>7</v>
      </c>
    </row>
    <row r="31" spans="1:47" ht="15.6" x14ac:dyDescent="0.3">
      <c r="A31" s="11">
        <v>30</v>
      </c>
      <c r="B31" s="22" t="s">
        <v>75</v>
      </c>
      <c r="C31" s="23">
        <v>69332.66</v>
      </c>
      <c r="D31" s="24">
        <v>100.79</v>
      </c>
      <c r="E31" s="24">
        <v>52.45</v>
      </c>
      <c r="F31" s="14">
        <f>IF(OR(D31&gt;=E31,D31=0),0,1)</f>
        <v>0</v>
      </c>
      <c r="G31" s="24">
        <v>10.66</v>
      </c>
      <c r="H31" s="24">
        <v>2.23</v>
      </c>
      <c r="I31" s="14">
        <f>IF(AND(H31&lt;=1,H31&gt;0),1,0)</f>
        <v>0</v>
      </c>
      <c r="J31" s="24">
        <v>631.97</v>
      </c>
      <c r="K31" s="24">
        <v>461.94</v>
      </c>
      <c r="L31" s="24">
        <v>5.68</v>
      </c>
      <c r="M31" s="24">
        <v>5.09</v>
      </c>
      <c r="N31" s="14">
        <f>IF(AND(J31&gt;K31,L31&gt;=M31),1,0)</f>
        <v>1</v>
      </c>
      <c r="O31" s="15">
        <v>115.1</v>
      </c>
      <c r="P31" s="15">
        <v>262.7</v>
      </c>
      <c r="Q31" s="15">
        <v>104</v>
      </c>
      <c r="R31" s="15">
        <v>150.19999999999999</v>
      </c>
      <c r="S31" s="15">
        <v>61.2</v>
      </c>
      <c r="T31" s="15">
        <v>205.4</v>
      </c>
      <c r="U31" s="15" t="s">
        <v>76</v>
      </c>
      <c r="V31" s="15" t="s">
        <v>76</v>
      </c>
      <c r="W31" s="14">
        <f>IF(AND(O31&gt;S31,P31&gt;T31,Q31&gt;U31,R31&gt;V31),1,0)</f>
        <v>0</v>
      </c>
      <c r="X31" s="24">
        <v>1399.07</v>
      </c>
      <c r="Y31" s="24">
        <v>829.67</v>
      </c>
      <c r="Z31" s="24">
        <v>12.42</v>
      </c>
      <c r="AA31" s="24">
        <v>9.31</v>
      </c>
      <c r="AB31" s="14">
        <f>IF(AND(X31&gt;Y31,Z31&gt;=AA31,X31&gt;0),1,0)</f>
        <v>1</v>
      </c>
      <c r="AC31" s="12" t="str">
        <f>IF(X31&gt;J31,"Yes","No")</f>
        <v>Yes</v>
      </c>
      <c r="AD31" s="14">
        <f>IF(X31&gt;J31,1,0)</f>
        <v>1</v>
      </c>
      <c r="AE31" s="26">
        <v>3101.8</v>
      </c>
      <c r="AF31" s="27">
        <v>2333</v>
      </c>
      <c r="AG31" s="17">
        <f>AE31/AF31</f>
        <v>1.3295327903986285</v>
      </c>
      <c r="AH31" s="26">
        <v>1972.1</v>
      </c>
      <c r="AI31" s="26">
        <v>1828.4</v>
      </c>
      <c r="AJ31" s="17">
        <f>AH31/AI31</f>
        <v>1.078593305622402</v>
      </c>
      <c r="AK31" s="18">
        <f>IF(AG31&gt;=AJ31,1,0)</f>
        <v>1</v>
      </c>
      <c r="AL31" s="28">
        <v>0</v>
      </c>
      <c r="AM31" s="28">
        <v>0</v>
      </c>
      <c r="AN31" s="18">
        <f>IF(AL31&lt;=AM31,1,0)</f>
        <v>1</v>
      </c>
      <c r="AO31" s="28">
        <v>1.1599999999999999</v>
      </c>
      <c r="AP31" s="28">
        <v>1.06</v>
      </c>
      <c r="AQ31" s="18">
        <f>IF(AO31&gt;AP31,1,0)</f>
        <v>1</v>
      </c>
      <c r="AR31" s="28">
        <v>14.2</v>
      </c>
      <c r="AS31" s="28">
        <v>13.96</v>
      </c>
      <c r="AT31" s="14">
        <f>IF(AR31&gt;=AS31,1,0)</f>
        <v>1</v>
      </c>
      <c r="AU31" s="20">
        <f>SUM(I31,N31,AB31,AD31,AK31,AN31,AQ31,AT31,F31,W31)</f>
        <v>7</v>
      </c>
    </row>
    <row r="32" spans="1:47" ht="15.6" x14ac:dyDescent="0.3">
      <c r="A32" s="11">
        <v>31</v>
      </c>
      <c r="B32" s="12" t="s">
        <v>77</v>
      </c>
      <c r="C32" s="13">
        <v>1026437.89</v>
      </c>
      <c r="D32" s="12">
        <v>19.260000000000002</v>
      </c>
      <c r="E32" s="12">
        <v>12.63</v>
      </c>
      <c r="F32" s="14">
        <f>IF(OR(D32&gt;=E32,D32=0),0,1)</f>
        <v>0</v>
      </c>
      <c r="G32" s="12">
        <v>3.26</v>
      </c>
      <c r="H32" s="12">
        <v>0.72</v>
      </c>
      <c r="I32" s="14">
        <f>IF(AND(H32&lt;=1,H32&gt;0),1,0)</f>
        <v>1</v>
      </c>
      <c r="J32" s="12">
        <v>54569.38</v>
      </c>
      <c r="K32" s="12">
        <v>46080.51</v>
      </c>
      <c r="L32" s="12">
        <v>29.27</v>
      </c>
      <c r="M32" s="12">
        <v>28.88</v>
      </c>
      <c r="N32" s="14">
        <f>IF(AND(J32&gt;K32,L32&gt;=M32),1,0)</f>
        <v>1</v>
      </c>
      <c r="O32" s="15">
        <v>13557.6</v>
      </c>
      <c r="P32" s="15">
        <v>13502.2</v>
      </c>
      <c r="Q32" s="15">
        <v>12883.4</v>
      </c>
      <c r="R32" s="15">
        <v>12947.8</v>
      </c>
      <c r="S32" s="15">
        <v>11695.8</v>
      </c>
      <c r="T32" s="15">
        <v>12728.6</v>
      </c>
      <c r="U32" s="15">
        <v>11052.6</v>
      </c>
      <c r="V32" s="15">
        <v>10896.1</v>
      </c>
      <c r="W32" s="14">
        <f>IF(AND(O32&gt;S32,P32&gt;T32,Q32&gt;U32,R32&gt;V32),1,0)</f>
        <v>1</v>
      </c>
      <c r="X32" s="12">
        <v>122805.26</v>
      </c>
      <c r="Y32" s="12">
        <v>157284.48000000001</v>
      </c>
      <c r="Z32" s="12">
        <v>63.73</v>
      </c>
      <c r="AA32" s="12">
        <v>98.6</v>
      </c>
      <c r="AB32" s="14">
        <f>IF(AND(X32&gt;Y32,Z32&gt;=AA32,X32&gt;0),1,0)</f>
        <v>0</v>
      </c>
      <c r="AC32" s="12" t="str">
        <f>IF(X32&gt;J32,"Yes","No")</f>
        <v>Yes</v>
      </c>
      <c r="AD32" s="14">
        <f>IF(X32&gt;J32,1,0)</f>
        <v>1</v>
      </c>
      <c r="AE32" s="16">
        <v>1731592.8</v>
      </c>
      <c r="AF32" s="16">
        <v>158672.4</v>
      </c>
      <c r="AG32" s="17">
        <f>AE32/AF32</f>
        <v>10.913005664501199</v>
      </c>
      <c r="AH32" s="16">
        <v>1521186.1</v>
      </c>
      <c r="AI32" s="16">
        <v>161704.5</v>
      </c>
      <c r="AJ32" s="17">
        <f>AH32/AI32</f>
        <v>9.4071970786218078</v>
      </c>
      <c r="AK32" s="18">
        <f>IF(AG32&gt;=AJ32,1,0)</f>
        <v>1</v>
      </c>
      <c r="AL32" s="19">
        <v>0.71</v>
      </c>
      <c r="AM32" s="19">
        <v>0.82</v>
      </c>
      <c r="AN32" s="18">
        <f>IF(AL32&lt;=AM32,1,0)</f>
        <v>1</v>
      </c>
      <c r="AO32" s="19">
        <v>7.0000000000000007E-2</v>
      </c>
      <c r="AP32" s="19">
        <v>7.0000000000000007E-2</v>
      </c>
      <c r="AQ32" s="18">
        <f>IF(AO32&gt;AP32,1,0)</f>
        <v>0</v>
      </c>
      <c r="AR32" s="19">
        <v>26.4</v>
      </c>
      <c r="AS32" s="19">
        <v>27.18</v>
      </c>
      <c r="AT32" s="14">
        <f>IF(AR32&gt;=AS32,1,0)</f>
        <v>0</v>
      </c>
      <c r="AU32" s="20">
        <f>SUM(I32,N32,AB32,AD32,AK32,AN32,AQ32,AT32,F32,W32)</f>
        <v>6</v>
      </c>
    </row>
    <row r="33" spans="1:47" ht="15.6" x14ac:dyDescent="0.3">
      <c r="A33" s="11">
        <v>32</v>
      </c>
      <c r="B33" s="12" t="s">
        <v>78</v>
      </c>
      <c r="C33" s="13">
        <v>820740.36</v>
      </c>
      <c r="D33" s="12">
        <v>10.33</v>
      </c>
      <c r="E33" s="12">
        <v>7.53</v>
      </c>
      <c r="F33" s="14">
        <f>IF(OR(D33&gt;=E33,D33=0),0,1)</f>
        <v>0</v>
      </c>
      <c r="G33" s="12">
        <v>1.52</v>
      </c>
      <c r="H33" s="12">
        <v>0.35</v>
      </c>
      <c r="I33" s="14">
        <f>IF(AND(H33&lt;=1,H33&gt;0),1,0)</f>
        <v>1</v>
      </c>
      <c r="J33" s="12">
        <v>80522.63</v>
      </c>
      <c r="K33" s="12">
        <v>69543.42</v>
      </c>
      <c r="L33" s="12">
        <v>16.399999999999999</v>
      </c>
      <c r="M33" s="12">
        <v>15.84</v>
      </c>
      <c r="N33" s="14">
        <f>IF(AND(J33&gt;K33,L33&gt;=M33),1,0)</f>
        <v>1</v>
      </c>
      <c r="O33" s="15">
        <v>19600.5</v>
      </c>
      <c r="P33" s="15">
        <v>18853.2</v>
      </c>
      <c r="Q33" s="15">
        <v>19782.8</v>
      </c>
      <c r="R33" s="15">
        <v>19325</v>
      </c>
      <c r="S33" s="15">
        <v>21384.2</v>
      </c>
      <c r="T33" s="15">
        <v>11064.1</v>
      </c>
      <c r="U33" s="15">
        <v>17196.2</v>
      </c>
      <c r="V33" s="15">
        <v>18536.8</v>
      </c>
      <c r="W33" s="14">
        <f>IF(AND(O33&gt;S33,P33&gt;T33,Q33&gt;U33,R33&gt;V33),1,0)</f>
        <v>0</v>
      </c>
      <c r="X33" s="12">
        <v>48486.29</v>
      </c>
      <c r="Y33" s="12">
        <v>21632.43</v>
      </c>
      <c r="Z33" s="12">
        <v>9.73</v>
      </c>
      <c r="AA33" s="12">
        <v>4.93</v>
      </c>
      <c r="AB33" s="14">
        <f>IF(AND(X33&gt;Y33,Z33&gt;=AA33,X33&gt;0),1,0)</f>
        <v>1</v>
      </c>
      <c r="AC33" s="12" t="str">
        <f>IF(X33&gt;J33,"Yes","No")</f>
        <v>No</v>
      </c>
      <c r="AD33" s="14">
        <f>IF(X33&gt;J33,1,0)</f>
        <v>0</v>
      </c>
      <c r="AE33" s="16">
        <v>5062246.5</v>
      </c>
      <c r="AF33" s="16">
        <v>758367.5</v>
      </c>
      <c r="AG33" s="17">
        <f>AE33/AF33</f>
        <v>6.6751891398299641</v>
      </c>
      <c r="AH33" s="16">
        <v>4578522.4000000004</v>
      </c>
      <c r="AI33" s="16">
        <v>697074.7</v>
      </c>
      <c r="AJ33" s="17">
        <f>AH33/AI33</f>
        <v>6.568194771665075</v>
      </c>
      <c r="AK33" s="18">
        <f>IF(AG33&gt;=AJ33,1,0)</f>
        <v>1</v>
      </c>
      <c r="AL33" s="19">
        <v>1.33</v>
      </c>
      <c r="AM33" s="19">
        <v>1.65</v>
      </c>
      <c r="AN33" s="18">
        <f>IF(AL33&lt;=AM33,1,0)</f>
        <v>1</v>
      </c>
      <c r="AO33" s="19">
        <v>7.0000000000000007E-2</v>
      </c>
      <c r="AP33" s="19">
        <v>7.0000000000000007E-2</v>
      </c>
      <c r="AQ33" s="18">
        <f>IF(AO33&gt;AP33,1,0)</f>
        <v>0</v>
      </c>
      <c r="AR33" s="19">
        <v>18.97</v>
      </c>
      <c r="AS33" s="19">
        <v>16.64</v>
      </c>
      <c r="AT33" s="14">
        <f>IF(AR33&gt;=AS33,1,0)</f>
        <v>1</v>
      </c>
      <c r="AU33" s="20">
        <f>SUM(I33,N33,AB33,AD33,AK33,AN33,AQ33,AT33,F33,W33)</f>
        <v>6</v>
      </c>
    </row>
    <row r="34" spans="1:47" ht="15.6" x14ac:dyDescent="0.3">
      <c r="A34" s="11">
        <v>33</v>
      </c>
      <c r="B34" s="12" t="s">
        <v>79</v>
      </c>
      <c r="C34" s="13">
        <v>560078.55000000005</v>
      </c>
      <c r="D34" s="12">
        <v>11.49</v>
      </c>
      <c r="E34" s="12">
        <v>79.63</v>
      </c>
      <c r="F34" s="14">
        <f>IF(OR(D34&gt;=E34,D34=0),0,1)</f>
        <v>1</v>
      </c>
      <c r="G34" s="12">
        <v>4.4000000000000004</v>
      </c>
      <c r="H34" s="12">
        <v>0.09</v>
      </c>
      <c r="I34" s="14">
        <f>IF(AND(H34&lt;=1,H34&gt;0),1,0)</f>
        <v>1</v>
      </c>
      <c r="J34" s="12">
        <v>48320.33</v>
      </c>
      <c r="K34" s="12">
        <v>40915.85</v>
      </c>
      <c r="L34" s="12">
        <v>5.39</v>
      </c>
      <c r="M34" s="12">
        <v>4.82</v>
      </c>
      <c r="N34" s="14">
        <f>IF(AND(J34&gt;K34,L34&gt;=M34),1,0)</f>
        <v>1</v>
      </c>
      <c r="O34" s="15">
        <v>19038.7</v>
      </c>
      <c r="P34" s="15">
        <v>11008.7</v>
      </c>
      <c r="Q34" s="15">
        <v>7728.7</v>
      </c>
      <c r="R34" s="15">
        <v>10544.3</v>
      </c>
      <c r="S34" s="15">
        <v>13781.6</v>
      </c>
      <c r="T34" s="15">
        <v>9469</v>
      </c>
      <c r="U34" s="15">
        <v>8030.3</v>
      </c>
      <c r="V34" s="15">
        <v>9635</v>
      </c>
      <c r="W34" s="14">
        <f>IF(AND(O34&gt;S34,P34&gt;T34,Q34&gt;U34,R34&gt;V34),1,0)</f>
        <v>0</v>
      </c>
      <c r="X34" s="12">
        <v>-9144.77</v>
      </c>
      <c r="Y34" s="12">
        <v>26547.94</v>
      </c>
      <c r="Z34" s="12">
        <v>-1.01</v>
      </c>
      <c r="AA34" s="12">
        <v>3.14</v>
      </c>
      <c r="AB34" s="14">
        <f>IF(AND(X34&gt;Y34,Z34&gt;=AA34,X34&gt;0),1,0)</f>
        <v>0</v>
      </c>
      <c r="AC34" s="12" t="str">
        <f>IF(X34&gt;J34,"Yes","No")</f>
        <v>No</v>
      </c>
      <c r="AD34" s="14">
        <f>IF(X34&gt;J34,1,0)</f>
        <v>0</v>
      </c>
      <c r="AE34" s="16">
        <v>211520.9</v>
      </c>
      <c r="AF34" s="16">
        <v>48979.199999999997</v>
      </c>
      <c r="AG34" s="17">
        <f>AE34/AF34</f>
        <v>4.3185862570233899</v>
      </c>
      <c r="AH34" s="16">
        <v>197099.3</v>
      </c>
      <c r="AI34" s="25">
        <v>63795</v>
      </c>
      <c r="AJ34" s="17">
        <f>AH34/AI34</f>
        <v>3.0895728505368756</v>
      </c>
      <c r="AK34" s="18">
        <f>IF(AG34&gt;=AJ34,1,0)</f>
        <v>1</v>
      </c>
      <c r="AL34" s="19">
        <v>0</v>
      </c>
      <c r="AM34" s="19">
        <v>0</v>
      </c>
      <c r="AN34" s="18">
        <f>IF(AL34&lt;=AM34,1,0)</f>
        <v>1</v>
      </c>
      <c r="AO34" s="19">
        <v>0.16</v>
      </c>
      <c r="AP34" s="19">
        <v>0.17</v>
      </c>
      <c r="AQ34" s="18">
        <f>IF(AO34&gt;AP34,1,0)</f>
        <v>0</v>
      </c>
      <c r="AR34" s="19">
        <v>5.8</v>
      </c>
      <c r="AS34" s="19">
        <v>3.2</v>
      </c>
      <c r="AT34" s="14">
        <f>IF(AR34&gt;=AS34,1,0)</f>
        <v>1</v>
      </c>
      <c r="AU34" s="20">
        <f>SUM(I34,N34,AB34,AD34,AK34,AN34,AQ34,AT34,F34,W34)</f>
        <v>6</v>
      </c>
    </row>
    <row r="35" spans="1:47" ht="15.6" x14ac:dyDescent="0.3">
      <c r="A35" s="11">
        <v>34</v>
      </c>
      <c r="B35" s="12" t="s">
        <v>80</v>
      </c>
      <c r="C35" s="13">
        <v>330656.32</v>
      </c>
      <c r="D35" s="12">
        <v>13.8</v>
      </c>
      <c r="E35" s="12">
        <v>28.52</v>
      </c>
      <c r="F35" s="14">
        <f>IF(OR(D35&gt;=E35,D35=0),0,1)</f>
        <v>1</v>
      </c>
      <c r="G35" s="12">
        <v>1.8</v>
      </c>
      <c r="H35" s="12">
        <v>1.64</v>
      </c>
      <c r="I35" s="14">
        <f>IF(AND(H35&lt;=1,H35&gt;0),1,0)</f>
        <v>0</v>
      </c>
      <c r="J35" s="12">
        <v>23953.15</v>
      </c>
      <c r="K35" s="12">
        <v>21332.45</v>
      </c>
      <c r="L35" s="12">
        <v>11.37</v>
      </c>
      <c r="M35" s="12">
        <v>11.61</v>
      </c>
      <c r="N35" s="14">
        <f>IF(AND(J35&gt;K35,L35&gt;=M35),1,0)</f>
        <v>0</v>
      </c>
      <c r="O35" s="15">
        <v>6010.6</v>
      </c>
      <c r="P35" s="15">
        <v>7611.2</v>
      </c>
      <c r="Q35" s="15">
        <v>5062.5</v>
      </c>
      <c r="R35" s="15">
        <v>5274.6</v>
      </c>
      <c r="S35" s="15">
        <v>5474.1</v>
      </c>
      <c r="T35" s="15">
        <v>6168.7</v>
      </c>
      <c r="U35" s="15">
        <v>5155.3</v>
      </c>
      <c r="V35" s="15">
        <v>4614.6000000000004</v>
      </c>
      <c r="W35" s="14">
        <f>IF(AND(O35&gt;S35,P35&gt;T35,Q35&gt;U35,R35&gt;V35),1,0)</f>
        <v>0</v>
      </c>
      <c r="X35" s="12">
        <v>50435.95</v>
      </c>
      <c r="Y35" s="12">
        <v>40099.19</v>
      </c>
      <c r="Z35" s="12">
        <v>27.02</v>
      </c>
      <c r="AA35" s="12">
        <v>22.46</v>
      </c>
      <c r="AB35" s="14">
        <f>IF(AND(X35&gt;Y35,Z35&gt;=AA35,X35&gt;0),1,0)</f>
        <v>1</v>
      </c>
      <c r="AC35" s="12" t="str">
        <f>IF(X35&gt;J35,"Yes","No")</f>
        <v>Yes</v>
      </c>
      <c r="AD35" s="14">
        <f>IF(X35&gt;J35,1,0)</f>
        <v>1</v>
      </c>
      <c r="AE35" s="16">
        <v>111782.5</v>
      </c>
      <c r="AF35" s="16">
        <v>104502.5</v>
      </c>
      <c r="AG35" s="17">
        <f>AE35/AF35</f>
        <v>1.0696634051816942</v>
      </c>
      <c r="AH35" s="16">
        <v>98009.3</v>
      </c>
      <c r="AI35" s="16">
        <v>102355.2</v>
      </c>
      <c r="AJ35" s="17">
        <f>AH35/AI35</f>
        <v>0.95754099449759278</v>
      </c>
      <c r="AK35" s="18">
        <f>IF(AG35&gt;=AJ35,1,0)</f>
        <v>1</v>
      </c>
      <c r="AL35" s="19">
        <v>1.0900000000000001</v>
      </c>
      <c r="AM35" s="19">
        <v>1.18</v>
      </c>
      <c r="AN35" s="18">
        <f>IF(AL35&lt;=AM35,1,0)</f>
        <v>1</v>
      </c>
      <c r="AO35" s="19">
        <v>0.37</v>
      </c>
      <c r="AP35" s="19">
        <v>0.39</v>
      </c>
      <c r="AQ35" s="18">
        <f>IF(AO35&gt;AP35,1,0)</f>
        <v>0</v>
      </c>
      <c r="AR35" s="19">
        <v>28.36</v>
      </c>
      <c r="AS35" s="19">
        <v>28.2</v>
      </c>
      <c r="AT35" s="14">
        <f>IF(AR35&gt;=AS35,1,0)</f>
        <v>1</v>
      </c>
      <c r="AU35" s="20">
        <f>SUM(I35,N35,AB35,AD35,AK35,AN35,AQ35,AT35,F35,W35)</f>
        <v>6</v>
      </c>
    </row>
    <row r="36" spans="1:47" ht="15.6" x14ac:dyDescent="0.3">
      <c r="A36" s="11">
        <v>35</v>
      </c>
      <c r="B36" s="12" t="s">
        <v>81</v>
      </c>
      <c r="C36" s="13">
        <v>326261.88</v>
      </c>
      <c r="D36" s="12">
        <v>39.28</v>
      </c>
      <c r="E36" s="12">
        <v>68.64</v>
      </c>
      <c r="F36" s="14">
        <f>IF(OR(D36&gt;=E36,D36=0),0,1)</f>
        <v>1</v>
      </c>
      <c r="G36" s="12">
        <v>9.33</v>
      </c>
      <c r="H36" s="12">
        <v>2.17</v>
      </c>
      <c r="I36" s="14">
        <f>IF(AND(H36&lt;=1,H36&gt;0),1,0)</f>
        <v>0</v>
      </c>
      <c r="J36" s="12">
        <v>8364.0499999999993</v>
      </c>
      <c r="K36" s="12">
        <v>7620.95</v>
      </c>
      <c r="L36" s="12">
        <v>26.98</v>
      </c>
      <c r="M36" s="12">
        <v>25.07</v>
      </c>
      <c r="N36" s="14">
        <f>IF(AND(J36&gt;K36,L36&gt;=M36),1,0)</f>
        <v>1</v>
      </c>
      <c r="O36" s="15">
        <v>3976.7</v>
      </c>
      <c r="P36" s="15">
        <v>1439.8</v>
      </c>
      <c r="Q36" s="15">
        <v>1510.5</v>
      </c>
      <c r="R36" s="15">
        <v>1437.2</v>
      </c>
      <c r="S36" s="15">
        <v>4308.7</v>
      </c>
      <c r="T36" s="15">
        <v>1261.4000000000001</v>
      </c>
      <c r="U36" s="15">
        <v>1236.7</v>
      </c>
      <c r="V36" s="15">
        <v>814.2</v>
      </c>
      <c r="W36" s="14">
        <f>IF(AND(O36&gt;S36,P36&gt;T36,Q36&gt;U36,R36&gt;V36),1,0)</f>
        <v>0</v>
      </c>
      <c r="X36" s="12">
        <v>13643.46</v>
      </c>
      <c r="Y36" s="12">
        <v>8222.82</v>
      </c>
      <c r="Z36" s="12">
        <v>43.38</v>
      </c>
      <c r="AA36" s="12">
        <v>27.07</v>
      </c>
      <c r="AB36" s="14">
        <f>IF(AND(X36&gt;Y36,Z36&gt;=AA36,X36&gt;0),1,0)</f>
        <v>1</v>
      </c>
      <c r="AC36" s="12" t="str">
        <f>IF(X36&gt;J36,"Yes","No")</f>
        <v>Yes</v>
      </c>
      <c r="AD36" s="14">
        <f>IF(X36&gt;J36,1,0)</f>
        <v>1</v>
      </c>
      <c r="AE36" s="16">
        <v>90094.6</v>
      </c>
      <c r="AF36" s="16">
        <v>44095.3</v>
      </c>
      <c r="AG36" s="17">
        <f>AE36/AF36</f>
        <v>2.0431792050399928</v>
      </c>
      <c r="AH36" s="16">
        <v>63017.5</v>
      </c>
      <c r="AI36" s="16">
        <v>36324.300000000003</v>
      </c>
      <c r="AJ36" s="17">
        <f>AH36/AI36</f>
        <v>1.7348579325685558</v>
      </c>
      <c r="AK36" s="18">
        <f>IF(AG36&gt;=AJ36,1,0)</f>
        <v>1</v>
      </c>
      <c r="AL36" s="19">
        <v>0</v>
      </c>
      <c r="AM36" s="19">
        <v>0</v>
      </c>
      <c r="AN36" s="18">
        <f>IF(AL36&lt;=AM36,1,0)</f>
        <v>1</v>
      </c>
      <c r="AO36" s="19">
        <v>0.34</v>
      </c>
      <c r="AP36" s="19">
        <v>0.42</v>
      </c>
      <c r="AQ36" s="18">
        <f>IF(AO36&gt;AP36,1,0)</f>
        <v>0</v>
      </c>
      <c r="AR36" s="19">
        <v>28.64</v>
      </c>
      <c r="AS36" s="19">
        <v>30.18</v>
      </c>
      <c r="AT36" s="14">
        <f>IF(AR36&gt;=AS36,1,0)</f>
        <v>0</v>
      </c>
      <c r="AU36" s="20">
        <f>SUM(I36,N36,AB36,AD36,AK36,AN36,AQ36,AT36,F36,W36)</f>
        <v>6</v>
      </c>
    </row>
    <row r="37" spans="1:47" ht="15.6" x14ac:dyDescent="0.3">
      <c r="A37" s="11">
        <v>36</v>
      </c>
      <c r="B37" s="12" t="s">
        <v>82</v>
      </c>
      <c r="C37" s="13">
        <v>319570.96000000002</v>
      </c>
      <c r="D37" s="12">
        <v>28.09</v>
      </c>
      <c r="E37" s="12">
        <v>27.77</v>
      </c>
      <c r="F37" s="14">
        <f>IF(OR(D37&gt;=E37,D37=0),0,1)</f>
        <v>0</v>
      </c>
      <c r="G37" s="12">
        <v>5.13</v>
      </c>
      <c r="H37" s="12">
        <v>1.03</v>
      </c>
      <c r="I37" s="14">
        <f>IF(AND(H37&lt;=1,H37&gt;0),1,0)</f>
        <v>0</v>
      </c>
      <c r="J37" s="12">
        <v>11061.26</v>
      </c>
      <c r="K37" s="12">
        <v>8103.99</v>
      </c>
      <c r="L37" s="12">
        <v>35.31</v>
      </c>
      <c r="M37" s="12">
        <v>33.19</v>
      </c>
      <c r="N37" s="14">
        <f>IF(AND(J37&gt;K37,L37&gt;=M37),1,0)</f>
        <v>1</v>
      </c>
      <c r="O37" s="15">
        <v>3014.2</v>
      </c>
      <c r="P37" s="15">
        <v>2520.3000000000002</v>
      </c>
      <c r="Q37" s="15">
        <v>2445</v>
      </c>
      <c r="R37" s="15">
        <v>3112.8</v>
      </c>
      <c r="S37" s="15">
        <v>2039.7</v>
      </c>
      <c r="T37" s="15">
        <v>2208.4</v>
      </c>
      <c r="U37" s="15">
        <v>1747.9</v>
      </c>
      <c r="V37" s="15">
        <v>2114.6999999999998</v>
      </c>
      <c r="W37" s="14">
        <f>IF(AND(O37&gt;S37,P37&gt;T37,Q37&gt;U37,R37&gt;V37),1,0)</f>
        <v>1</v>
      </c>
      <c r="X37" s="12">
        <v>17226.28</v>
      </c>
      <c r="Y37" s="12">
        <v>15017.58</v>
      </c>
      <c r="Z37" s="12">
        <v>52.77</v>
      </c>
      <c r="AA37" s="12">
        <v>56.22</v>
      </c>
      <c r="AB37" s="14">
        <f>IF(AND(X37&gt;Y37,Z37&gt;=AA37,X37&gt;0),1,0)</f>
        <v>0</v>
      </c>
      <c r="AC37" s="12" t="str">
        <f>IF(X37&gt;J37,"Yes","No")</f>
        <v>Yes</v>
      </c>
      <c r="AD37" s="14">
        <f>IF(X37&gt;J37,1,0)</f>
        <v>1</v>
      </c>
      <c r="AE37" s="16">
        <v>18944.099999999999</v>
      </c>
      <c r="AF37" s="25">
        <v>20986</v>
      </c>
      <c r="AG37" s="17">
        <f>AE37/AF37</f>
        <v>0.90270180120080046</v>
      </c>
      <c r="AH37" s="16">
        <v>17472.400000000001</v>
      </c>
      <c r="AI37" s="16">
        <v>16462.900000000001</v>
      </c>
      <c r="AJ37" s="17">
        <f>AH37/AI37</f>
        <v>1.0613196945860086</v>
      </c>
      <c r="AK37" s="18">
        <f>IF(AG37&gt;=AJ37,1,0)</f>
        <v>0</v>
      </c>
      <c r="AL37" s="19">
        <v>0.56999999999999995</v>
      </c>
      <c r="AM37" s="19">
        <v>0.71</v>
      </c>
      <c r="AN37" s="18">
        <f>IF(AL37&lt;=AM37,1,0)</f>
        <v>1</v>
      </c>
      <c r="AO37" s="19">
        <v>0.24</v>
      </c>
      <c r="AP37" s="19">
        <v>0.23</v>
      </c>
      <c r="AQ37" s="18">
        <f>IF(AO37&gt;AP37,1,0)</f>
        <v>1</v>
      </c>
      <c r="AR37" s="19">
        <v>58.75</v>
      </c>
      <c r="AS37" s="19">
        <v>56.24</v>
      </c>
      <c r="AT37" s="14">
        <f>IF(AR37&gt;=AS37,1,0)</f>
        <v>1</v>
      </c>
      <c r="AU37" s="20">
        <f>SUM(I37,N37,AB37,AD37,AK37,AN37,AQ37,AT37,F37,W37)</f>
        <v>6</v>
      </c>
    </row>
    <row r="38" spans="1:47" ht="15.6" x14ac:dyDescent="0.3">
      <c r="A38" s="11">
        <v>37</v>
      </c>
      <c r="B38" s="12" t="s">
        <v>83</v>
      </c>
      <c r="C38" s="13">
        <v>190091.56</v>
      </c>
      <c r="D38" s="12">
        <v>44.9</v>
      </c>
      <c r="E38" s="12">
        <v>41.66</v>
      </c>
      <c r="F38" s="14">
        <f>IF(OR(D38&gt;=E38,D38=0),0,1)</f>
        <v>0</v>
      </c>
      <c r="G38" s="12">
        <v>4.47</v>
      </c>
      <c r="H38" s="12">
        <v>1.0900000000000001</v>
      </c>
      <c r="I38" s="14">
        <f>IF(AND(H38&lt;=1,H38&gt;0),1,0)</f>
        <v>0</v>
      </c>
      <c r="J38" s="12">
        <v>4366.82</v>
      </c>
      <c r="K38" s="12">
        <v>2723.55</v>
      </c>
      <c r="L38" s="12">
        <v>58.26</v>
      </c>
      <c r="M38" s="12">
        <v>41.68</v>
      </c>
      <c r="N38" s="14">
        <f>IF(AND(J38&gt;K38,L38&gt;=M38),1,0)</f>
        <v>1</v>
      </c>
      <c r="O38" s="15">
        <v>762.7</v>
      </c>
      <c r="P38" s="15">
        <v>1282.2</v>
      </c>
      <c r="Q38" s="15">
        <v>1058.7</v>
      </c>
      <c r="R38" s="15">
        <v>1381.1</v>
      </c>
      <c r="S38" s="15">
        <v>645.6</v>
      </c>
      <c r="T38" s="15">
        <v>920.7</v>
      </c>
      <c r="U38" s="15">
        <v>656.6</v>
      </c>
      <c r="V38" s="15">
        <v>622.79999999999995</v>
      </c>
      <c r="W38" s="14">
        <f>IF(AND(O38&gt;S38,P38&gt;T38,Q38&gt;U38,R38&gt;V38),1,0)</f>
        <v>1</v>
      </c>
      <c r="X38" s="12">
        <v>5235.22</v>
      </c>
      <c r="Y38" s="12">
        <v>2538.81</v>
      </c>
      <c r="Z38" s="12">
        <v>56</v>
      </c>
      <c r="AA38" s="12">
        <v>39.5</v>
      </c>
      <c r="AB38" s="14">
        <f>IF(AND(X38&gt;Y38,Z38&gt;=AA38,X38&gt;0),1,0)</f>
        <v>1</v>
      </c>
      <c r="AC38" s="12" t="str">
        <f>IF(X38&gt;J38,"Yes","No")</f>
        <v>Yes</v>
      </c>
      <c r="AD38" s="14">
        <f>IF(X38&gt;J38,1,0)</f>
        <v>1</v>
      </c>
      <c r="AE38" s="16">
        <v>41205.300000000003</v>
      </c>
      <c r="AF38" s="25">
        <v>22233</v>
      </c>
      <c r="AG38" s="17">
        <f>AE38/AF38</f>
        <v>1.8533396302793146</v>
      </c>
      <c r="AH38" s="16">
        <v>32556.7</v>
      </c>
      <c r="AI38" s="16">
        <v>14141.1</v>
      </c>
      <c r="AJ38" s="17">
        <f>AH38/AI38</f>
        <v>2.3022749291073539</v>
      </c>
      <c r="AK38" s="18">
        <f>IF(AG38&gt;=AJ38,1,0)</f>
        <v>0</v>
      </c>
      <c r="AL38" s="19">
        <v>0.04</v>
      </c>
      <c r="AM38" s="19">
        <v>0.06</v>
      </c>
      <c r="AN38" s="18">
        <f>IF(AL38&lt;=AM38,1,0)</f>
        <v>1</v>
      </c>
      <c r="AO38" s="19">
        <v>0.12</v>
      </c>
      <c r="AP38" s="19">
        <v>0.11</v>
      </c>
      <c r="AQ38" s="18">
        <f>IF(AO38&gt;AP38,1,0)</f>
        <v>1</v>
      </c>
      <c r="AR38" s="19">
        <v>23.44</v>
      </c>
      <c r="AS38" s="19">
        <v>30.52</v>
      </c>
      <c r="AT38" s="14">
        <f>IF(AR38&gt;=AS38,1,0)</f>
        <v>0</v>
      </c>
      <c r="AU38" s="20">
        <f>SUM(I38,N38,AB38,AD38,AK38,AN38,AQ38,AT38,F38,W38)</f>
        <v>6</v>
      </c>
    </row>
    <row r="39" spans="1:47" ht="15.6" x14ac:dyDescent="0.3">
      <c r="A39" s="11">
        <v>38</v>
      </c>
      <c r="B39" s="22" t="s">
        <v>84</v>
      </c>
      <c r="C39" s="23">
        <v>184883.57</v>
      </c>
      <c r="D39" s="24">
        <v>74.31</v>
      </c>
      <c r="E39" s="24">
        <v>79.63</v>
      </c>
      <c r="F39" s="14">
        <f>IF(OR(D39&gt;=E39,D39=0),0,1)</f>
        <v>1</v>
      </c>
      <c r="G39" s="24">
        <v>10.36</v>
      </c>
      <c r="H39" s="24">
        <v>4.37</v>
      </c>
      <c r="I39" s="14">
        <f>IF(AND(H39&lt;=1,H39&gt;0),1,0)</f>
        <v>0</v>
      </c>
      <c r="J39" s="24">
        <v>2413.3000000000002</v>
      </c>
      <c r="K39" s="24">
        <v>1893.78</v>
      </c>
      <c r="L39" s="24">
        <v>2.06</v>
      </c>
      <c r="M39" s="24">
        <v>1.43</v>
      </c>
      <c r="N39" s="14">
        <f>IF(AND(J39&gt;K39,L39&gt;=M39),1,0)</f>
        <v>1</v>
      </c>
      <c r="O39" s="29">
        <v>594.4</v>
      </c>
      <c r="P39" s="29">
        <v>813.5</v>
      </c>
      <c r="Q39" s="29">
        <v>550.79999999999995</v>
      </c>
      <c r="R39" s="29">
        <v>529.4</v>
      </c>
      <c r="S39" s="29">
        <v>519.5</v>
      </c>
      <c r="T39" s="29">
        <v>810.8</v>
      </c>
      <c r="U39" s="29">
        <v>321.8</v>
      </c>
      <c r="V39" s="29">
        <v>380.2</v>
      </c>
      <c r="W39" s="14">
        <f>IF(AND(O39&gt;S39,P39&gt;T39,Q39&gt;U39,R39&gt;V39),1,0)</f>
        <v>1</v>
      </c>
      <c r="X39" s="24">
        <v>25546.65</v>
      </c>
      <c r="Y39" s="24">
        <v>29121.86</v>
      </c>
      <c r="Z39" s="24">
        <v>21.07</v>
      </c>
      <c r="AA39" s="24">
        <v>22.06</v>
      </c>
      <c r="AB39" s="14">
        <f>IF(AND(X39&gt;Y39,Z39&gt;=AA39,X39&gt;0),1,0)</f>
        <v>0</v>
      </c>
      <c r="AC39" s="12" t="str">
        <f>IF(X39&gt;J39,"Yes","No")</f>
        <v>Yes</v>
      </c>
      <c r="AD39" s="14">
        <f>IF(X39&gt;J39,1,0)</f>
        <v>1</v>
      </c>
      <c r="AE39" s="16">
        <v>8556.5</v>
      </c>
      <c r="AF39" s="16">
        <v>6172.3</v>
      </c>
      <c r="AG39" s="17">
        <f>AE39/AF39</f>
        <v>1.3862741603616155</v>
      </c>
      <c r="AH39" s="16">
        <v>11762.8</v>
      </c>
      <c r="AI39" s="16">
        <v>5515.8</v>
      </c>
      <c r="AJ39" s="17">
        <f>AH39/AI39</f>
        <v>2.1325646325102432</v>
      </c>
      <c r="AK39" s="18">
        <f>IF(AG39&gt;=AJ39,1,0)</f>
        <v>0</v>
      </c>
      <c r="AL39" s="19">
        <v>0</v>
      </c>
      <c r="AM39" s="19">
        <v>0</v>
      </c>
      <c r="AN39" s="18">
        <f>IF(AL39&lt;=AM39,1,0)</f>
        <v>1</v>
      </c>
      <c r="AO39" s="19">
        <v>0.27</v>
      </c>
      <c r="AP39" s="19">
        <v>0.37</v>
      </c>
      <c r="AQ39" s="18">
        <f>IF(AO39&gt;AP39,1,0)</f>
        <v>0</v>
      </c>
      <c r="AR39" s="19">
        <v>1.43</v>
      </c>
      <c r="AS39" s="19">
        <v>0.51</v>
      </c>
      <c r="AT39" s="14">
        <f>IF(AR39&gt;=AS39,1,0)</f>
        <v>1</v>
      </c>
      <c r="AU39" s="20">
        <f>SUM(I39,N39,AB39,AD39,AK39,AN39,AQ39,AT39,F39,W39)</f>
        <v>6</v>
      </c>
    </row>
    <row r="40" spans="1:47" ht="15.6" x14ac:dyDescent="0.3">
      <c r="A40" s="11">
        <v>39</v>
      </c>
      <c r="B40" s="22" t="s">
        <v>85</v>
      </c>
      <c r="C40" s="23">
        <v>171145.88</v>
      </c>
      <c r="D40" s="24">
        <v>108.06</v>
      </c>
      <c r="E40" s="24">
        <v>41.79</v>
      </c>
      <c r="F40" s="14">
        <f>IF(OR(D40&gt;=E40,D40=0),0,1)</f>
        <v>0</v>
      </c>
      <c r="G40" s="24">
        <v>31.34</v>
      </c>
      <c r="H40" s="24">
        <v>0.79</v>
      </c>
      <c r="I40" s="14">
        <f>IF(AND(H40&lt;=1,H40&gt;0),1,0)</f>
        <v>1</v>
      </c>
      <c r="J40" s="24">
        <v>1534.41</v>
      </c>
      <c r="K40" s="24">
        <v>1477.46</v>
      </c>
      <c r="L40" s="24">
        <v>8.3800000000000008</v>
      </c>
      <c r="M40" s="24">
        <v>7.31</v>
      </c>
      <c r="N40" s="14">
        <f>IF(AND(J40&gt;K40,L40&gt;=M40),1,0)</f>
        <v>1</v>
      </c>
      <c r="O40" s="15">
        <v>318.2</v>
      </c>
      <c r="P40" s="15">
        <v>497.3</v>
      </c>
      <c r="Q40" s="15">
        <v>338.7</v>
      </c>
      <c r="R40" s="15">
        <v>392.6</v>
      </c>
      <c r="S40" s="15">
        <v>704.2</v>
      </c>
      <c r="T40" s="15">
        <v>374.4</v>
      </c>
      <c r="U40" s="15">
        <v>234.7</v>
      </c>
      <c r="V40" s="15">
        <v>173.5</v>
      </c>
      <c r="W40" s="14">
        <f>IF(AND(O40&gt;S40,P40&gt;T40,Q40&gt;U40,R40&gt;V40),1,0)</f>
        <v>0</v>
      </c>
      <c r="X40" s="24">
        <v>1660.9</v>
      </c>
      <c r="Y40" s="24">
        <v>1348.98</v>
      </c>
      <c r="Z40" s="24">
        <v>9.27</v>
      </c>
      <c r="AA40" s="24">
        <v>10.9</v>
      </c>
      <c r="AB40" s="14">
        <f>IF(AND(X40&gt;Y40,Z40&gt;=AA40,X40&gt;0),1,0)</f>
        <v>0</v>
      </c>
      <c r="AC40" s="12" t="str">
        <f>IF(X40&gt;J40,"Yes","No")</f>
        <v>Yes</v>
      </c>
      <c r="AD40" s="14">
        <f>IF(X40&gt;J40,1,0)</f>
        <v>1</v>
      </c>
      <c r="AE40" s="16">
        <v>3673.5</v>
      </c>
      <c r="AF40" s="16">
        <v>2010.7</v>
      </c>
      <c r="AG40" s="17">
        <f>AE40/AF40</f>
        <v>1.8269756801114039</v>
      </c>
      <c r="AH40" s="16">
        <v>3109.9</v>
      </c>
      <c r="AI40" s="16">
        <v>1541.5</v>
      </c>
      <c r="AJ40" s="17">
        <f>AH40/AI40</f>
        <v>2.0174505351929941</v>
      </c>
      <c r="AK40" s="18">
        <f>IF(AG40&gt;=AJ40,1,0)</f>
        <v>0</v>
      </c>
      <c r="AL40" s="19">
        <v>0.09</v>
      </c>
      <c r="AM40" s="19">
        <v>0.12</v>
      </c>
      <c r="AN40" s="18">
        <f>IF(AL40&lt;=AM40,1,0)</f>
        <v>1</v>
      </c>
      <c r="AO40" s="19">
        <v>2.0699999999999998</v>
      </c>
      <c r="AP40" s="19">
        <v>1.62</v>
      </c>
      <c r="AQ40" s="18">
        <f>IF(AO40&gt;AP40,1,0)</f>
        <v>1</v>
      </c>
      <c r="AR40" s="19">
        <v>15.9</v>
      </c>
      <c r="AS40" s="19">
        <v>15.18</v>
      </c>
      <c r="AT40" s="14">
        <f>IF(AR40&gt;=AS40,1,0)</f>
        <v>1</v>
      </c>
      <c r="AU40" s="20">
        <f>SUM(I40,N40,AB40,AD40,AK40,AN40,AQ40,AT40,F40,W40)</f>
        <v>6</v>
      </c>
    </row>
    <row r="41" spans="1:47" ht="15.6" x14ac:dyDescent="0.3">
      <c r="A41" s="11">
        <v>40</v>
      </c>
      <c r="B41" s="22" t="s">
        <v>86</v>
      </c>
      <c r="C41" s="23">
        <v>160833.26</v>
      </c>
      <c r="D41" s="24">
        <v>84.95</v>
      </c>
      <c r="E41" s="24">
        <v>79.63</v>
      </c>
      <c r="F41" s="14">
        <f>IF(OR(D41&gt;=E41,D41=0),0,1)</f>
        <v>0</v>
      </c>
      <c r="G41" s="24">
        <v>9.48</v>
      </c>
      <c r="H41" s="24">
        <v>10.84</v>
      </c>
      <c r="I41" s="14">
        <f>IF(AND(H41&lt;=1,H41&gt;0),1,0)</f>
        <v>0</v>
      </c>
      <c r="J41" s="24">
        <v>1810.82</v>
      </c>
      <c r="K41" s="24">
        <v>1574.08</v>
      </c>
      <c r="L41" s="24">
        <v>1.79</v>
      </c>
      <c r="M41" s="24">
        <v>1.38</v>
      </c>
      <c r="N41" s="14">
        <f>IF(AND(J41&gt;K41,L41&gt;=M41),1,0)</f>
        <v>1</v>
      </c>
      <c r="O41" s="15">
        <v>548.4</v>
      </c>
      <c r="P41" s="15">
        <v>475.4</v>
      </c>
      <c r="Q41" s="15">
        <v>421.3</v>
      </c>
      <c r="R41" s="15">
        <v>435.2</v>
      </c>
      <c r="S41" s="15">
        <v>479</v>
      </c>
      <c r="T41" s="15">
        <v>411.6</v>
      </c>
      <c r="U41" s="15">
        <v>367.5</v>
      </c>
      <c r="V41" s="15">
        <v>378.2</v>
      </c>
      <c r="W41" s="14">
        <f>IF(AND(O41&gt;S41,P41&gt;T41,Q41&gt;U41,R41&gt;V41),1,0)</f>
        <v>1</v>
      </c>
      <c r="X41" s="24">
        <v>15597.06</v>
      </c>
      <c r="Y41" s="24">
        <v>10721.36</v>
      </c>
      <c r="Z41" s="24">
        <v>17.03</v>
      </c>
      <c r="AA41" s="24">
        <v>10.56</v>
      </c>
      <c r="AB41" s="14">
        <f>IF(AND(X41&gt;Y41,Z41&gt;=AA41,X41&gt;0),1,0)</f>
        <v>1</v>
      </c>
      <c r="AC41" s="12" t="str">
        <f>IF(X41&gt;J41,"Yes","No")</f>
        <v>Yes</v>
      </c>
      <c r="AD41" s="14">
        <f>IF(X41&gt;J41,1,0)</f>
        <v>1</v>
      </c>
      <c r="AE41" s="16">
        <v>10025.9</v>
      </c>
      <c r="AF41" s="16">
        <v>9705.4</v>
      </c>
      <c r="AG41" s="17">
        <f>AE41/AF41</f>
        <v>1.0330228532569496</v>
      </c>
      <c r="AH41" s="16">
        <v>8085.2</v>
      </c>
      <c r="AI41" s="16">
        <v>8842.2000000000007</v>
      </c>
      <c r="AJ41" s="17">
        <f>AH41/AI41</f>
        <v>0.91438782203524005</v>
      </c>
      <c r="AK41" s="18">
        <f>IF(AG41&gt;=AJ41,1,0)</f>
        <v>1</v>
      </c>
      <c r="AL41" s="19">
        <v>0.18</v>
      </c>
      <c r="AM41" s="19">
        <v>0.06</v>
      </c>
      <c r="AN41" s="18">
        <f>IF(AL41&lt;=AM41,1,0)</f>
        <v>0</v>
      </c>
      <c r="AO41" s="19">
        <v>0.3</v>
      </c>
      <c r="AP41" s="19">
        <v>0.37</v>
      </c>
      <c r="AQ41" s="18">
        <f>IF(AO41&gt;AP41,1,0)</f>
        <v>0</v>
      </c>
      <c r="AR41" s="19">
        <v>1.1299999999999999</v>
      </c>
      <c r="AS41" s="19">
        <v>0.57999999999999996</v>
      </c>
      <c r="AT41" s="14">
        <f>IF(AR41&gt;=AS41,1,0)</f>
        <v>1</v>
      </c>
      <c r="AU41" s="20">
        <f>SUM(I41,N41,AB41,AD41,AK41,AN41,AQ41,AT41,F41,W41)</f>
        <v>6</v>
      </c>
    </row>
    <row r="42" spans="1:47" ht="15.6" x14ac:dyDescent="0.3">
      <c r="A42" s="11">
        <v>41</v>
      </c>
      <c r="B42" s="22" t="s">
        <v>87</v>
      </c>
      <c r="C42" s="23">
        <v>157002.74</v>
      </c>
      <c r="D42" s="24">
        <v>71.37</v>
      </c>
      <c r="E42" s="24">
        <v>33.22</v>
      </c>
      <c r="F42" s="14">
        <f>IF(OR(D42&gt;=E42,D42=0),0,1)</f>
        <v>0</v>
      </c>
      <c r="G42" s="24">
        <v>16.09</v>
      </c>
      <c r="H42" s="24">
        <v>3.59</v>
      </c>
      <c r="I42" s="14">
        <f>IF(AND(H42&lt;=1,H42&gt;0),1,0)</f>
        <v>0</v>
      </c>
      <c r="J42" s="24">
        <v>2096.17</v>
      </c>
      <c r="K42" s="24">
        <v>1747.42</v>
      </c>
      <c r="L42" s="24">
        <v>16.079999999999998</v>
      </c>
      <c r="M42" s="24">
        <v>14.54</v>
      </c>
      <c r="N42" s="14">
        <f>IF(AND(J42&gt;K42,L42&gt;=M42),1,0)</f>
        <v>1</v>
      </c>
      <c r="O42" s="15">
        <v>672.4</v>
      </c>
      <c r="P42" s="15">
        <v>422.3</v>
      </c>
      <c r="Q42" s="15">
        <v>552.4</v>
      </c>
      <c r="R42" s="15">
        <v>534.6</v>
      </c>
      <c r="S42" s="15">
        <v>566.9</v>
      </c>
      <c r="T42" s="15">
        <v>300.5</v>
      </c>
      <c r="U42" s="15">
        <v>510.5</v>
      </c>
      <c r="V42" s="15">
        <v>450.2</v>
      </c>
      <c r="W42" s="14">
        <f>IF(AND(O42&gt;S42,P42&gt;T42,Q42&gt;U42,R42&gt;V42),1,0)</f>
        <v>1</v>
      </c>
      <c r="X42" s="24">
        <v>2286.63</v>
      </c>
      <c r="Y42" s="24">
        <v>2724.03</v>
      </c>
      <c r="Z42" s="24">
        <v>16.940000000000001</v>
      </c>
      <c r="AA42" s="24">
        <v>22</v>
      </c>
      <c r="AB42" s="14">
        <f>IF(AND(X42&gt;Y42,Z42&gt;=AA42,X42&gt;0),1,0)</f>
        <v>0</v>
      </c>
      <c r="AC42" s="12" t="str">
        <f>IF(X42&gt;J42,"Yes","No")</f>
        <v>Yes</v>
      </c>
      <c r="AD42" s="14">
        <f>IF(X42&gt;J42,1,0)</f>
        <v>1</v>
      </c>
      <c r="AE42" s="25">
        <v>7462</v>
      </c>
      <c r="AF42" s="16">
        <v>3289.9</v>
      </c>
      <c r="AG42" s="17">
        <f>AE42/AF42</f>
        <v>2.2681540472354782</v>
      </c>
      <c r="AH42" s="16">
        <v>5836.4</v>
      </c>
      <c r="AI42" s="16">
        <v>2797.6</v>
      </c>
      <c r="AJ42" s="17">
        <f>AH42/AI42</f>
        <v>2.0862167572204746</v>
      </c>
      <c r="AK42" s="18">
        <f>IF(AG42&gt;=AJ42,1,0)</f>
        <v>1</v>
      </c>
      <c r="AL42" s="19">
        <v>0</v>
      </c>
      <c r="AM42" s="19">
        <v>0</v>
      </c>
      <c r="AN42" s="18">
        <f>IF(AL42&lt;=AM42,1,0)</f>
        <v>1</v>
      </c>
      <c r="AO42" s="19">
        <v>1.01</v>
      </c>
      <c r="AP42" s="19">
        <v>1.0900000000000001</v>
      </c>
      <c r="AQ42" s="18">
        <f>IF(AO42&gt;AP42,1,0)</f>
        <v>0</v>
      </c>
      <c r="AR42" s="19">
        <v>22.5</v>
      </c>
      <c r="AS42" s="19">
        <v>21.62</v>
      </c>
      <c r="AT42" s="14">
        <f>IF(AR42&gt;=AS42,1,0)</f>
        <v>1</v>
      </c>
      <c r="AU42" s="20">
        <f>SUM(I42,N42,AB42,AD42,AK42,AN42,AQ42,AT42,F42,W42)</f>
        <v>6</v>
      </c>
    </row>
    <row r="43" spans="1:47" ht="15.6" x14ac:dyDescent="0.3">
      <c r="A43" s="11">
        <v>42</v>
      </c>
      <c r="B43" s="22" t="s">
        <v>88</v>
      </c>
      <c r="C43" s="23">
        <v>130832.53</v>
      </c>
      <c r="D43" s="24">
        <v>5.38</v>
      </c>
      <c r="E43" s="24">
        <v>23.62</v>
      </c>
      <c r="F43" s="14">
        <f>IF(OR(D43&gt;=E43,D43=0),0,1)</f>
        <v>1</v>
      </c>
      <c r="G43" s="24">
        <v>1.1100000000000001</v>
      </c>
      <c r="H43" s="24">
        <v>0.3</v>
      </c>
      <c r="I43" s="14">
        <f>IF(AND(H43&lt;=1,H43&gt;0),1,0)</f>
        <v>1</v>
      </c>
      <c r="J43" s="24">
        <v>30514.400000000001</v>
      </c>
      <c r="K43" s="24">
        <v>26461.18</v>
      </c>
      <c r="L43" s="24">
        <v>28.5</v>
      </c>
      <c r="M43" s="24">
        <v>28.92</v>
      </c>
      <c r="N43" s="14">
        <f>IF(AND(J43&gt;K43,L43&gt;=M43),1,0)</f>
        <v>0</v>
      </c>
      <c r="O43" s="15">
        <v>6316.5</v>
      </c>
      <c r="P43" s="15">
        <v>5828.8</v>
      </c>
      <c r="Q43" s="15">
        <v>5302.4</v>
      </c>
      <c r="R43" s="15">
        <v>5543.1</v>
      </c>
      <c r="S43" s="15">
        <v>5624.4</v>
      </c>
      <c r="T43" s="15">
        <v>4727.3999999999996</v>
      </c>
      <c r="U43" s="15">
        <v>4833.1000000000004</v>
      </c>
      <c r="V43" s="15">
        <v>4576.3</v>
      </c>
      <c r="W43" s="14">
        <f>IF(AND(O43&gt;S43,P43&gt;T43,Q43&gt;U43,R43&gt;V43),1,0)</f>
        <v>1</v>
      </c>
      <c r="X43" s="24">
        <v>-92269.36</v>
      </c>
      <c r="Y43" s="24">
        <v>-97820.41</v>
      </c>
      <c r="Z43" s="24">
        <v>-83.63</v>
      </c>
      <c r="AA43" s="24">
        <v>-106.9</v>
      </c>
      <c r="AB43" s="14">
        <f>IF(AND(X43&gt;Y43,Z43&gt;=AA43,X43&gt;0),1,0)</f>
        <v>0</v>
      </c>
      <c r="AC43" s="12" t="str">
        <f>IF(X43&gt;J43,"Yes","No")</f>
        <v>No</v>
      </c>
      <c r="AD43" s="14">
        <f>IF(X43&gt;J43,1,0)</f>
        <v>0</v>
      </c>
      <c r="AE43" s="16">
        <v>1168713.8999999999</v>
      </c>
      <c r="AF43" s="16">
        <v>1021246.3</v>
      </c>
      <c r="AG43" s="17">
        <f>AE43/AF43</f>
        <v>1.1443996418885434</v>
      </c>
      <c r="AH43" s="25">
        <v>1030521</v>
      </c>
      <c r="AI43" s="16">
        <v>903132.9</v>
      </c>
      <c r="AJ43" s="17">
        <f>AH43/AI43</f>
        <v>1.1410513336409291</v>
      </c>
      <c r="AK43" s="18">
        <f>IF(AG43&gt;=AJ43,1,0)</f>
        <v>1</v>
      </c>
      <c r="AL43" s="19">
        <v>0</v>
      </c>
      <c r="AM43" s="19">
        <v>0</v>
      </c>
      <c r="AN43" s="18">
        <f>IF(AL43&lt;=AM43,1,0)</f>
        <v>1</v>
      </c>
      <c r="AO43" s="19">
        <v>0.1</v>
      </c>
      <c r="AP43" s="19">
        <v>0.09</v>
      </c>
      <c r="AQ43" s="18">
        <f>IF(AO43&gt;AP43,1,0)</f>
        <v>1</v>
      </c>
      <c r="AR43" s="19">
        <v>96.87</v>
      </c>
      <c r="AS43" s="19">
        <v>100.38</v>
      </c>
      <c r="AT43" s="14">
        <f>IF(AR43&gt;=AS43,1,0)</f>
        <v>0</v>
      </c>
      <c r="AU43" s="20">
        <f>SUM(I43,N43,AB43,AD43,AK43,AN43,AQ43,AT43,F43,W43)</f>
        <v>6</v>
      </c>
    </row>
    <row r="44" spans="1:47" ht="15.6" x14ac:dyDescent="0.3">
      <c r="A44" s="11">
        <v>43</v>
      </c>
      <c r="B44" s="22" t="s">
        <v>89</v>
      </c>
      <c r="C44" s="23">
        <v>122313.84</v>
      </c>
      <c r="D44" s="24">
        <v>44.54</v>
      </c>
      <c r="E44" s="24">
        <v>31.21</v>
      </c>
      <c r="F44" s="14">
        <f>IF(OR(D44&gt;=E44,D44=0),0,1)</f>
        <v>0</v>
      </c>
      <c r="G44" s="24">
        <v>15.79</v>
      </c>
      <c r="H44" s="24">
        <v>2.13</v>
      </c>
      <c r="I44" s="14">
        <f>IF(AND(H44&lt;=1,H44&gt;0),1,0)</f>
        <v>0</v>
      </c>
      <c r="J44" s="24">
        <v>2461.0500000000002</v>
      </c>
      <c r="K44" s="24">
        <v>1945.88</v>
      </c>
      <c r="L44" s="24">
        <v>60.77</v>
      </c>
      <c r="M44" s="24">
        <v>61.6</v>
      </c>
      <c r="N44" s="14">
        <f>IF(AND(J44&gt;K44,L44&gt;=M44),1,0)</f>
        <v>0</v>
      </c>
      <c r="O44" s="15">
        <v>747.6</v>
      </c>
      <c r="P44" s="15">
        <v>638.5</v>
      </c>
      <c r="Q44" s="15">
        <v>641.4</v>
      </c>
      <c r="R44" s="15">
        <v>576.6</v>
      </c>
      <c r="S44" s="15">
        <v>603.79999999999995</v>
      </c>
      <c r="T44" s="15">
        <v>540.79999999999995</v>
      </c>
      <c r="U44" s="15">
        <v>487.9</v>
      </c>
      <c r="V44" s="15">
        <v>436.5</v>
      </c>
      <c r="W44" s="14">
        <f>IF(AND(O44&gt;S44,P44&gt;T44,Q44&gt;U44,R44&gt;V44),1,0)</f>
        <v>1</v>
      </c>
      <c r="X44" s="24">
        <v>2076.6999999999998</v>
      </c>
      <c r="Y44" s="24">
        <v>1620.01</v>
      </c>
      <c r="Z44" s="24">
        <v>54.23</v>
      </c>
      <c r="AA44" s="24">
        <v>51.29</v>
      </c>
      <c r="AB44" s="14">
        <f>IF(AND(X44&gt;Y44,Z44&gt;=AA44,X44&gt;0),1,0)</f>
        <v>1</v>
      </c>
      <c r="AC44" s="12" t="str">
        <f>IF(X44&gt;J44,"Yes","No")</f>
        <v>No</v>
      </c>
      <c r="AD44" s="14">
        <f>IF(X44&gt;J44,1,0)</f>
        <v>0</v>
      </c>
      <c r="AE44" s="16">
        <v>8469.9</v>
      </c>
      <c r="AF44" s="19">
        <v>285.2</v>
      </c>
      <c r="AG44" s="17">
        <f>AE44/AF44</f>
        <v>29.698106591865358</v>
      </c>
      <c r="AH44" s="16">
        <v>7323.7</v>
      </c>
      <c r="AI44" s="19">
        <v>268.5</v>
      </c>
      <c r="AJ44" s="17">
        <f>AH44/AI44</f>
        <v>27.276350093109869</v>
      </c>
      <c r="AK44" s="18">
        <f>IF(AG44&gt;=AJ44,1,0)</f>
        <v>1</v>
      </c>
      <c r="AL44" s="19">
        <v>0</v>
      </c>
      <c r="AM44" s="19">
        <v>0</v>
      </c>
      <c r="AN44" s="18">
        <f>IF(AL44&lt;=AM44,1,0)</f>
        <v>1</v>
      </c>
      <c r="AO44" s="19">
        <v>0.43</v>
      </c>
      <c r="AP44" s="19">
        <v>0.37</v>
      </c>
      <c r="AQ44" s="18">
        <f>IF(AO44&gt;AP44,1,0)</f>
        <v>1</v>
      </c>
      <c r="AR44" s="19">
        <v>68.760000000000005</v>
      </c>
      <c r="AS44" s="19">
        <v>61.88</v>
      </c>
      <c r="AT44" s="14">
        <f>IF(AR44&gt;=AS44,1,0)</f>
        <v>1</v>
      </c>
      <c r="AU44" s="20">
        <f>SUM(I44,N44,AB44,AD44,AK44,AN44,AQ44,AT44,F44,W44)</f>
        <v>6</v>
      </c>
    </row>
    <row r="45" spans="1:47" ht="15.6" x14ac:dyDescent="0.3">
      <c r="A45" s="11">
        <v>44</v>
      </c>
      <c r="B45" s="22" t="s">
        <v>90</v>
      </c>
      <c r="C45" s="23">
        <v>113827.6</v>
      </c>
      <c r="D45" s="24">
        <v>6.16</v>
      </c>
      <c r="E45" s="24">
        <v>7.53</v>
      </c>
      <c r="F45" s="14">
        <f>IF(OR(D45&gt;=E45,D45=0),0,1)</f>
        <v>1</v>
      </c>
      <c r="G45" s="24">
        <v>1.08</v>
      </c>
      <c r="H45" s="24">
        <v>0.15</v>
      </c>
      <c r="I45" s="14">
        <f>IF(AND(H45&lt;=1,H45&gt;0),1,0)</f>
        <v>1</v>
      </c>
      <c r="J45" s="24">
        <v>17691.900000000001</v>
      </c>
      <c r="K45" s="24">
        <v>15400.91</v>
      </c>
      <c r="L45" s="24">
        <v>14.55</v>
      </c>
      <c r="M45" s="24">
        <v>13.92</v>
      </c>
      <c r="N45" s="14">
        <f>IF(AND(J45&gt;K45,L45&gt;=M45),1,0)</f>
        <v>1</v>
      </c>
      <c r="O45" s="15">
        <v>3195</v>
      </c>
      <c r="P45" s="15">
        <v>5070.2</v>
      </c>
      <c r="Q45" s="15">
        <v>4214.2</v>
      </c>
      <c r="R45" s="15">
        <v>4187.8</v>
      </c>
      <c r="S45" s="15">
        <v>4067.5</v>
      </c>
      <c r="T45" s="15">
        <v>3951.8</v>
      </c>
      <c r="U45" s="15">
        <v>3790.2</v>
      </c>
      <c r="V45" s="15">
        <v>3860</v>
      </c>
      <c r="W45" s="14">
        <f>IF(AND(O45&gt;S45,P45&gt;T45,Q45&gt;U45,R45&gt;V45),1,0)</f>
        <v>0</v>
      </c>
      <c r="X45" s="24">
        <v>60668.58</v>
      </c>
      <c r="Y45" s="24">
        <v>15046.5</v>
      </c>
      <c r="Z45" s="24">
        <v>48.95</v>
      </c>
      <c r="AA45" s="24">
        <v>13.61</v>
      </c>
      <c r="AB45" s="14">
        <f>IF(AND(X45&gt;Y45,Z45&gt;=AA45,X45&gt;0),1,0)</f>
        <v>1</v>
      </c>
      <c r="AC45" s="12" t="str">
        <f>IF(X45&gt;J45,"Yes","No")</f>
        <v>Yes</v>
      </c>
      <c r="AD45" s="14">
        <f>IF(X45&gt;J45,1,0)</f>
        <v>1</v>
      </c>
      <c r="AE45" s="16">
        <v>1294201.3</v>
      </c>
      <c r="AF45" s="16">
        <v>77924.600000000006</v>
      </c>
      <c r="AG45" s="17">
        <f>AE45/AF45</f>
        <v>16.608379125462307</v>
      </c>
      <c r="AH45" s="16">
        <v>1123479.7</v>
      </c>
      <c r="AI45" s="16">
        <v>72103.899999999994</v>
      </c>
      <c r="AJ45" s="17">
        <f>AH45/AI45</f>
        <v>15.581399896538191</v>
      </c>
      <c r="AK45" s="18">
        <f>IF(AG45&gt;=AJ45,1,0)</f>
        <v>1</v>
      </c>
      <c r="AL45" s="19">
        <v>0.91</v>
      </c>
      <c r="AM45" s="19">
        <v>0.69</v>
      </c>
      <c r="AN45" s="18">
        <f>IF(AL45&lt;=AM45,1,0)</f>
        <v>0</v>
      </c>
      <c r="AO45" s="19">
        <v>7.0000000000000007E-2</v>
      </c>
      <c r="AP45" s="19">
        <v>0.08</v>
      </c>
      <c r="AQ45" s="18">
        <f>IF(AO45&gt;AP45,1,0)</f>
        <v>0</v>
      </c>
      <c r="AR45" s="19">
        <v>20.82</v>
      </c>
      <c r="AS45" s="19">
        <v>21.35</v>
      </c>
      <c r="AT45" s="14">
        <f>IF(AR45&gt;=AS45,1,0)</f>
        <v>0</v>
      </c>
      <c r="AU45" s="20">
        <f>SUM(I45,N45,AB45,AD45,AK45,AN45,AQ45,AT45,F45,W45)</f>
        <v>6</v>
      </c>
    </row>
    <row r="46" spans="1:47" customFormat="1" ht="15.6" x14ac:dyDescent="0.3">
      <c r="A46" s="11">
        <v>45</v>
      </c>
      <c r="B46" s="22" t="s">
        <v>91</v>
      </c>
      <c r="C46" s="23">
        <v>111152.33</v>
      </c>
      <c r="D46" s="24">
        <v>64.45</v>
      </c>
      <c r="E46" s="24">
        <v>49.5</v>
      </c>
      <c r="F46" s="14">
        <f>IF(OR(D46&gt;=E46,D46=0),0,1)</f>
        <v>0</v>
      </c>
      <c r="G46" s="24">
        <v>9.02</v>
      </c>
      <c r="H46" s="24">
        <v>2</v>
      </c>
      <c r="I46" s="14">
        <f>IF(AND(H46&lt;=1,H46&gt;0),1,0)</f>
        <v>0</v>
      </c>
      <c r="J46" s="24">
        <v>2718.1</v>
      </c>
      <c r="K46" s="24">
        <v>1961.9</v>
      </c>
      <c r="L46" s="24">
        <v>11.29</v>
      </c>
      <c r="M46" s="24">
        <v>9.93</v>
      </c>
      <c r="N46" s="14">
        <f>IF(AND(J46&gt;K46,L46&gt;=M46),1,0)</f>
        <v>1</v>
      </c>
      <c r="O46" s="15">
        <v>246.1</v>
      </c>
      <c r="P46" s="15" t="s">
        <v>76</v>
      </c>
      <c r="Q46" s="15" t="s">
        <v>76</v>
      </c>
      <c r="R46" s="15" t="s">
        <v>76</v>
      </c>
      <c r="S46" s="15" t="s">
        <v>76</v>
      </c>
      <c r="T46" s="15" t="s">
        <v>76</v>
      </c>
      <c r="U46" s="15" t="s">
        <v>76</v>
      </c>
      <c r="V46" s="15" t="s">
        <v>76</v>
      </c>
      <c r="W46" s="14">
        <f>IF(AND(O46&gt;S46,P46&gt;T46,Q46&gt;U46,R46&gt;V46),1,0)</f>
        <v>0</v>
      </c>
      <c r="X46" s="24">
        <v>1669.5</v>
      </c>
      <c r="Y46" s="24">
        <v>1400</v>
      </c>
      <c r="Z46" s="24">
        <v>10.029999999999999</v>
      </c>
      <c r="AA46" s="24">
        <v>7.16</v>
      </c>
      <c r="AB46" s="14">
        <f>IF(AND(X46&gt;Y46,Z46&gt;=AA46,X46&gt;0),1,0)</f>
        <v>1</v>
      </c>
      <c r="AC46" s="12" t="str">
        <f>IF(X46&gt;J46,"Yes","No")</f>
        <v>No</v>
      </c>
      <c r="AD46" s="14">
        <f>IF(X46&gt;J46,1,0)</f>
        <v>0</v>
      </c>
      <c r="AE46" s="16">
        <v>20157.099999999999</v>
      </c>
      <c r="AF46" s="16">
        <v>8912.1</v>
      </c>
      <c r="AG46" s="17">
        <f>AE46/AF46</f>
        <v>2.2617677090696917</v>
      </c>
      <c r="AH46" s="16">
        <v>17606.2</v>
      </c>
      <c r="AI46" s="16">
        <v>8546.5</v>
      </c>
      <c r="AJ46" s="17">
        <f>AH46/AI46</f>
        <v>2.060047972854385</v>
      </c>
      <c r="AK46" s="18">
        <f>IF(AG46&gt;=AJ46,1,0)</f>
        <v>1</v>
      </c>
      <c r="AL46" s="19">
        <v>0</v>
      </c>
      <c r="AM46" s="19">
        <v>0</v>
      </c>
      <c r="AN46" s="18">
        <f>IF(AL46&lt;=AM46,1,0)</f>
        <v>1</v>
      </c>
      <c r="AO46" s="19">
        <v>0.93</v>
      </c>
      <c r="AP46" s="19">
        <v>0.92</v>
      </c>
      <c r="AQ46" s="18">
        <f>IF(AO46&gt;AP46,1,0)</f>
        <v>1</v>
      </c>
      <c r="AR46" s="19">
        <v>13.4</v>
      </c>
      <c r="AS46" s="19">
        <v>12.4</v>
      </c>
      <c r="AT46" s="14">
        <f>IF(AR46&gt;=AS46,1,0)</f>
        <v>1</v>
      </c>
      <c r="AU46" s="20">
        <f>SUM(I46,N46,AB46,AD46,AK46,AN46,AQ46,AT46,F46,W46)</f>
        <v>6</v>
      </c>
    </row>
    <row r="47" spans="1:47" customFormat="1" ht="15.6" x14ac:dyDescent="0.3">
      <c r="A47" s="11">
        <v>46</v>
      </c>
      <c r="B47" s="22" t="s">
        <v>92</v>
      </c>
      <c r="C47" s="23">
        <v>110184.23</v>
      </c>
      <c r="D47" s="24">
        <v>51.69</v>
      </c>
      <c r="E47" s="24">
        <v>39.729999999999997</v>
      </c>
      <c r="F47" s="14">
        <f>IF(OR(D47&gt;=E47,D47=0),0,1)</f>
        <v>0</v>
      </c>
      <c r="G47" s="24">
        <v>14.57</v>
      </c>
      <c r="H47" s="24">
        <v>1.48</v>
      </c>
      <c r="I47" s="14">
        <f>IF(AND(H47&lt;=1,H47&gt;0),1,0)</f>
        <v>0</v>
      </c>
      <c r="J47" s="24">
        <v>1999.94</v>
      </c>
      <c r="K47" s="24">
        <v>1720.58</v>
      </c>
      <c r="L47" s="24">
        <v>19.2</v>
      </c>
      <c r="M47" s="24">
        <v>19.12</v>
      </c>
      <c r="N47" s="14">
        <f>IF(AND(J47&gt;K47,L47&gt;=M47),1,0)</f>
        <v>1</v>
      </c>
      <c r="O47" s="15">
        <v>529.5</v>
      </c>
      <c r="P47" s="15">
        <v>558.5</v>
      </c>
      <c r="Q47" s="15">
        <v>449.4</v>
      </c>
      <c r="R47" s="15">
        <v>462.6</v>
      </c>
      <c r="S47" s="15">
        <v>537.29999999999995</v>
      </c>
      <c r="T47" s="15">
        <v>498.9</v>
      </c>
      <c r="U47" s="15">
        <v>329.1</v>
      </c>
      <c r="V47" s="15">
        <v>353.7</v>
      </c>
      <c r="W47" s="14">
        <f>IF(AND(O47&gt;S47,P47&gt;T47,Q47&gt;U47,R47&gt;V47),1,0)</f>
        <v>0</v>
      </c>
      <c r="X47" s="24">
        <v>1684.86</v>
      </c>
      <c r="Y47" s="24">
        <v>1285.3399999999999</v>
      </c>
      <c r="Z47" s="24">
        <v>15.34</v>
      </c>
      <c r="AA47" s="24">
        <v>14.28</v>
      </c>
      <c r="AB47" s="14">
        <f>IF(AND(X47&gt;Y47,Z47&gt;=AA47,X47&gt;0),1,0)</f>
        <v>1</v>
      </c>
      <c r="AC47" s="12" t="str">
        <f>IF(X47&gt;J47,"Yes","No")</f>
        <v>No</v>
      </c>
      <c r="AD47" s="14">
        <f>IF(X47&gt;J47,1,0)</f>
        <v>0</v>
      </c>
      <c r="AE47" s="16">
        <v>7008.5</v>
      </c>
      <c r="AF47" s="16">
        <v>2258.5</v>
      </c>
      <c r="AG47" s="17">
        <f>AE47/AF47</f>
        <v>3.1031658180208104</v>
      </c>
      <c r="AH47" s="16">
        <v>5942.2</v>
      </c>
      <c r="AI47" s="16">
        <v>2056.9</v>
      </c>
      <c r="AJ47" s="17">
        <f>AH47/AI47</f>
        <v>2.8889104963780445</v>
      </c>
      <c r="AK47" s="18">
        <f>IF(AG47&gt;=AJ47,1,0)</f>
        <v>1</v>
      </c>
      <c r="AL47" s="19">
        <v>0</v>
      </c>
      <c r="AM47" s="19">
        <v>0</v>
      </c>
      <c r="AN47" s="18">
        <f>IF(AL47&lt;=AM47,1,0)</f>
        <v>1</v>
      </c>
      <c r="AO47" s="19">
        <v>1.0900000000000001</v>
      </c>
      <c r="AP47" s="19">
        <v>1.07</v>
      </c>
      <c r="AQ47" s="18">
        <f>IF(AO47&gt;AP47,1,0)</f>
        <v>1</v>
      </c>
      <c r="AR47" s="19">
        <v>19.190000000000001</v>
      </c>
      <c r="AS47" s="19">
        <v>18.87</v>
      </c>
      <c r="AT47" s="14">
        <f>IF(AR47&gt;=AS47,1,0)</f>
        <v>1</v>
      </c>
      <c r="AU47" s="20">
        <f>SUM(I47,N47,AB47,AD47,AK47,AN47,AQ47,AT47,F47,W47)</f>
        <v>6</v>
      </c>
    </row>
    <row r="48" spans="1:47" customFormat="1" ht="15.6" x14ac:dyDescent="0.3">
      <c r="A48" s="11">
        <v>47</v>
      </c>
      <c r="B48" s="22" t="s">
        <v>93</v>
      </c>
      <c r="C48" s="23">
        <v>105379.73</v>
      </c>
      <c r="D48" s="24">
        <v>8.94</v>
      </c>
      <c r="E48" s="24">
        <v>7.53</v>
      </c>
      <c r="F48" s="14">
        <f>IF(OR(D48&gt;=E48,D48=0),0,1)</f>
        <v>0</v>
      </c>
      <c r="G48" s="24">
        <v>1.37</v>
      </c>
      <c r="H48" s="24">
        <v>0.23</v>
      </c>
      <c r="I48" s="14">
        <f>IF(AND(H48&lt;=1,H48&gt;0),1,0)</f>
        <v>1</v>
      </c>
      <c r="J48" s="24">
        <v>11264.39</v>
      </c>
      <c r="K48" s="24">
        <v>8422.52</v>
      </c>
      <c r="L48" s="24">
        <v>18.149999999999999</v>
      </c>
      <c r="M48" s="24">
        <v>15.14</v>
      </c>
      <c r="N48" s="14">
        <f>IF(AND(J48&gt;K48,L48&gt;=M48),1,0)</f>
        <v>1</v>
      </c>
      <c r="O48" s="15">
        <v>2276.4</v>
      </c>
      <c r="P48" s="15">
        <v>2981.6</v>
      </c>
      <c r="Q48" s="15">
        <v>2909.7</v>
      </c>
      <c r="R48" s="15">
        <v>2799.7</v>
      </c>
      <c r="S48" s="15">
        <v>2570.4</v>
      </c>
      <c r="T48" s="15">
        <v>2295.6</v>
      </c>
      <c r="U48" s="15">
        <v>2205.6</v>
      </c>
      <c r="V48" s="15">
        <v>2068.5</v>
      </c>
      <c r="W48" s="14">
        <f>IF(AND(O48&gt;S48,P48&gt;T48,Q48&gt;U48,R48&gt;V48),1,0)</f>
        <v>0</v>
      </c>
      <c r="X48" s="24">
        <v>17396.400000000001</v>
      </c>
      <c r="Y48" s="24">
        <v>-8617.26</v>
      </c>
      <c r="Z48" s="24">
        <v>26.95</v>
      </c>
      <c r="AA48" s="24">
        <v>-15.48</v>
      </c>
      <c r="AB48" s="14">
        <f>IF(AND(X48&gt;Y48,Z48&gt;=AA48,X48&gt;0),1,0)</f>
        <v>1</v>
      </c>
      <c r="AC48" s="12" t="str">
        <f>IF(X48&gt;J48,"Yes","No")</f>
        <v>Yes</v>
      </c>
      <c r="AD48" s="14">
        <f>IF(X48&gt;J48,1,0)</f>
        <v>1</v>
      </c>
      <c r="AE48" s="16">
        <v>639760.4</v>
      </c>
      <c r="AF48" s="16">
        <v>26842.799999999999</v>
      </c>
      <c r="AG48" s="17">
        <f>AE48/AF48</f>
        <v>23.833594110897522</v>
      </c>
      <c r="AH48" s="16">
        <v>572927.1</v>
      </c>
      <c r="AI48" s="16">
        <v>24335.4</v>
      </c>
      <c r="AJ48" s="17">
        <f>AH48/AI48</f>
        <v>23.542949776868262</v>
      </c>
      <c r="AK48" s="18">
        <f>IF(AG48&gt;=AJ48,1,0)</f>
        <v>1</v>
      </c>
      <c r="AL48" s="19">
        <v>0.57999999999999996</v>
      </c>
      <c r="AM48" s="19">
        <v>0.43</v>
      </c>
      <c r="AN48" s="18">
        <f>IF(AL48&lt;=AM48,1,0)</f>
        <v>0</v>
      </c>
      <c r="AO48" s="19">
        <v>7.0000000000000007E-2</v>
      </c>
      <c r="AP48" s="19">
        <v>7.0000000000000007E-2</v>
      </c>
      <c r="AQ48" s="18">
        <f>IF(AO48&gt;AP48,1,0)</f>
        <v>0</v>
      </c>
      <c r="AR48" s="19">
        <v>26.51</v>
      </c>
      <c r="AS48" s="19">
        <v>26.37</v>
      </c>
      <c r="AT48" s="14">
        <f>IF(AR48&gt;=AS48,1,0)</f>
        <v>1</v>
      </c>
      <c r="AU48" s="20">
        <f>SUM(I48,N48,AB48,AD48,AK48,AN48,AQ48,AT48,F48,W48)</f>
        <v>6</v>
      </c>
    </row>
    <row r="49" spans="1:47" customFormat="1" ht="15.6" x14ac:dyDescent="0.3">
      <c r="A49" s="11">
        <v>48</v>
      </c>
      <c r="B49" s="22" t="s">
        <v>94</v>
      </c>
      <c r="C49" s="23">
        <v>104343.76</v>
      </c>
      <c r="D49" s="24">
        <v>5.55</v>
      </c>
      <c r="E49" s="24">
        <v>7.53</v>
      </c>
      <c r="F49" s="14">
        <f>IF(OR(D49&gt;=E49,D49=0),0,1)</f>
        <v>1</v>
      </c>
      <c r="G49" s="24">
        <v>0.92</v>
      </c>
      <c r="H49" s="24">
        <v>0.11</v>
      </c>
      <c r="I49" s="14">
        <f>IF(AND(H49&lt;=1,H49&gt;0),1,0)</f>
        <v>1</v>
      </c>
      <c r="J49" s="24">
        <v>18026.95</v>
      </c>
      <c r="K49" s="24">
        <v>13797.12</v>
      </c>
      <c r="L49" s="24">
        <v>16.63</v>
      </c>
      <c r="M49" s="24">
        <v>13.74</v>
      </c>
      <c r="N49" s="14">
        <f>IF(AND(J49&gt;K49,L49&gt;=M49),1,0)</f>
        <v>1</v>
      </c>
      <c r="O49" s="15">
        <v>4427.8999999999996</v>
      </c>
      <c r="P49" s="15">
        <v>5011.2</v>
      </c>
      <c r="Q49" s="15">
        <v>4623</v>
      </c>
      <c r="R49" s="15">
        <v>4750.8999999999996</v>
      </c>
      <c r="S49" s="15">
        <v>3641.8</v>
      </c>
      <c r="T49" s="15">
        <v>3328.3</v>
      </c>
      <c r="U49" s="15">
        <v>3625.4</v>
      </c>
      <c r="V49" s="15">
        <v>3571.8</v>
      </c>
      <c r="W49" s="14">
        <f>IF(AND(O49&gt;S49,P49&gt;T49,Q49&gt;U49,R49&gt;V49),1,0)</f>
        <v>1</v>
      </c>
      <c r="X49" s="24">
        <v>17479.400000000001</v>
      </c>
      <c r="Y49" s="24">
        <v>19929.689999999999</v>
      </c>
      <c r="Z49" s="24">
        <v>15.98</v>
      </c>
      <c r="AA49" s="24">
        <v>19.86</v>
      </c>
      <c r="AB49" s="14">
        <f>IF(AND(X49&gt;Y49,Z49&gt;=AA49,X49&gt;0),1,0)</f>
        <v>0</v>
      </c>
      <c r="AC49" s="12" t="str">
        <f>IF(X49&gt;J49,"Yes","No")</f>
        <v>No</v>
      </c>
      <c r="AD49" s="14">
        <f>IF(X49&gt;J49,1,0)</f>
        <v>0</v>
      </c>
      <c r="AE49" s="27">
        <v>1139602</v>
      </c>
      <c r="AF49" s="26">
        <v>57714.2</v>
      </c>
      <c r="AG49" s="17">
        <f>AE49/AF49</f>
        <v>19.745608533081981</v>
      </c>
      <c r="AH49" s="26">
        <v>1048783.2</v>
      </c>
      <c r="AI49" s="26">
        <v>52830.6</v>
      </c>
      <c r="AJ49" s="17">
        <f>AH49/AI49</f>
        <v>19.851813153740444</v>
      </c>
      <c r="AK49" s="18">
        <f>IF(AG49&gt;=AJ49,1,0)</f>
        <v>0</v>
      </c>
      <c r="AL49" s="28">
        <v>0.25</v>
      </c>
      <c r="AM49" s="28">
        <v>0.28999999999999998</v>
      </c>
      <c r="AN49" s="18">
        <f>IF(AL49&lt;=AM49,1,0)</f>
        <v>1</v>
      </c>
      <c r="AO49" s="28">
        <v>7.0000000000000007E-2</v>
      </c>
      <c r="AP49" s="28">
        <v>7.0000000000000007E-2</v>
      </c>
      <c r="AQ49" s="18">
        <f>IF(AO49&gt;AP49,1,0)</f>
        <v>0</v>
      </c>
      <c r="AR49" s="28">
        <v>24.01</v>
      </c>
      <c r="AS49" s="28">
        <v>23.96</v>
      </c>
      <c r="AT49" s="14">
        <f>IF(AR49&gt;=AS49,1,0)</f>
        <v>1</v>
      </c>
      <c r="AU49" s="20">
        <f>SUM(I49,N49,AB49,AD49,AK49,AN49,AQ49,AT49,F49,W49)</f>
        <v>6</v>
      </c>
    </row>
    <row r="50" spans="1:47" customFormat="1" ht="15.6" x14ac:dyDescent="0.3">
      <c r="A50" s="11">
        <v>49</v>
      </c>
      <c r="B50" s="22" t="s">
        <v>95</v>
      </c>
      <c r="C50" s="23">
        <v>101092.85</v>
      </c>
      <c r="D50" s="24">
        <v>63.73</v>
      </c>
      <c r="E50" s="24">
        <v>63.73</v>
      </c>
      <c r="F50" s="14">
        <f>IF(OR(D50&gt;=E50,D50=0),0,1)</f>
        <v>0</v>
      </c>
      <c r="G50" s="24">
        <v>22.82</v>
      </c>
      <c r="H50" s="24">
        <v>0.9</v>
      </c>
      <c r="I50" s="14">
        <f>IF(AND(H50&lt;=1,H50&gt;0),1,0)</f>
        <v>1</v>
      </c>
      <c r="J50" s="24">
        <v>1322.32</v>
      </c>
      <c r="K50" s="24">
        <v>771.66</v>
      </c>
      <c r="L50" s="24">
        <v>43.23</v>
      </c>
      <c r="M50" s="24">
        <v>33.619999999999997</v>
      </c>
      <c r="N50" s="14">
        <f>IF(AND(J50&gt;K50,L50&gt;=M50),1,0)</f>
        <v>1</v>
      </c>
      <c r="O50" s="15">
        <v>494.4</v>
      </c>
      <c r="P50" s="15">
        <v>219.7</v>
      </c>
      <c r="Q50" s="15">
        <v>346.8</v>
      </c>
      <c r="R50" s="15">
        <v>265.10000000000002</v>
      </c>
      <c r="S50" s="15">
        <v>107</v>
      </c>
      <c r="T50" s="15">
        <v>108.2</v>
      </c>
      <c r="U50" s="15">
        <v>120.5</v>
      </c>
      <c r="V50" s="15">
        <v>442.7</v>
      </c>
      <c r="W50" s="14">
        <f>IF(AND(O50&gt;S50,P50&gt;T50,Q50&gt;U50,R50&gt;V50),1,0)</f>
        <v>0</v>
      </c>
      <c r="X50" s="24">
        <v>414.17</v>
      </c>
      <c r="Y50" s="24">
        <v>2643.46</v>
      </c>
      <c r="Z50" s="24">
        <v>12.03</v>
      </c>
      <c r="AA50" s="24">
        <v>168.57</v>
      </c>
      <c r="AB50" s="14">
        <f>IF(AND(X50&gt;Y50,Z50&gt;=AA50,X50&gt;0),1,0)</f>
        <v>0</v>
      </c>
      <c r="AC50" s="12" t="str">
        <f>IF(X50&gt;J50,"Yes","No")</f>
        <v>No</v>
      </c>
      <c r="AD50" s="14">
        <f>IF(X50&gt;J50,1,0)</f>
        <v>0</v>
      </c>
      <c r="AE50" s="26">
        <v>7342.7</v>
      </c>
      <c r="AF50" s="26">
        <v>4614.6000000000004</v>
      </c>
      <c r="AG50" s="17">
        <f>AE50/AF50</f>
        <v>1.5911888354353572</v>
      </c>
      <c r="AH50" s="26">
        <v>5969.9</v>
      </c>
      <c r="AI50" s="27">
        <v>5027</v>
      </c>
      <c r="AJ50" s="17">
        <f>AH50/AI50</f>
        <v>1.1875671374577281</v>
      </c>
      <c r="AK50" s="18">
        <f>IF(AG50&gt;=AJ50,1,0)</f>
        <v>1</v>
      </c>
      <c r="AL50" s="28">
        <v>0</v>
      </c>
      <c r="AM50" s="28">
        <v>0</v>
      </c>
      <c r="AN50" s="18">
        <f>IF(AL50&lt;=AM50,1,0)</f>
        <v>1</v>
      </c>
      <c r="AO50" s="28">
        <v>0.32</v>
      </c>
      <c r="AP50" s="28">
        <v>0.21</v>
      </c>
      <c r="AQ50" s="18">
        <f>IF(AO50&gt;AP50,1,0)</f>
        <v>1</v>
      </c>
      <c r="AR50" s="28">
        <v>56.99</v>
      </c>
      <c r="AS50" s="28">
        <v>37.22</v>
      </c>
      <c r="AT50" s="14">
        <f>IF(AR50&gt;=AS50,1,0)</f>
        <v>1</v>
      </c>
      <c r="AU50" s="20">
        <f>SUM(I50,N50,AB50,AD50,AK50,AN50,AQ50,AT50,F50,W50)</f>
        <v>6</v>
      </c>
    </row>
    <row r="51" spans="1:47" customFormat="1" ht="15.6" x14ac:dyDescent="0.3">
      <c r="A51" s="11">
        <v>50</v>
      </c>
      <c r="B51" s="22" t="s">
        <v>96</v>
      </c>
      <c r="C51" s="23">
        <v>99564.98</v>
      </c>
      <c r="D51" s="24">
        <v>35.549999999999997</v>
      </c>
      <c r="E51" s="24">
        <v>42.91</v>
      </c>
      <c r="F51" s="14">
        <f>IF(OR(D51&gt;=E51,D51=0),0,1)</f>
        <v>1</v>
      </c>
      <c r="G51" s="24">
        <v>6.22</v>
      </c>
      <c r="H51" s="24">
        <v>1.4</v>
      </c>
      <c r="I51" s="14">
        <f>IF(AND(H51&lt;=1,H51&gt;0),1,0)</f>
        <v>0</v>
      </c>
      <c r="J51" s="24">
        <v>2508.29</v>
      </c>
      <c r="K51" s="24">
        <v>1918.59</v>
      </c>
      <c r="L51" s="24">
        <v>10.47</v>
      </c>
      <c r="M51" s="24">
        <v>9.34</v>
      </c>
      <c r="N51" s="14">
        <f>IF(AND(J51&gt;K51,L51&gt;=M51),1,0)</f>
        <v>1</v>
      </c>
      <c r="O51" s="15">
        <v>747.1</v>
      </c>
      <c r="P51" s="15">
        <v>509.6</v>
      </c>
      <c r="Q51" s="15">
        <v>724.4</v>
      </c>
      <c r="R51" s="15">
        <v>694</v>
      </c>
      <c r="S51" s="15">
        <v>580.4</v>
      </c>
      <c r="T51" s="15">
        <v>519.5</v>
      </c>
      <c r="U51" s="15">
        <v>431.5</v>
      </c>
      <c r="V51" s="15">
        <v>577.29999999999995</v>
      </c>
      <c r="W51" s="14">
        <f>IF(AND(O51&gt;S51,P51&gt;T51,Q51&gt;U51,R51&gt;V51),1,0)</f>
        <v>0</v>
      </c>
      <c r="X51" s="24">
        <v>1147.3</v>
      </c>
      <c r="Y51" s="24">
        <v>2406.77</v>
      </c>
      <c r="Z51" s="24">
        <v>4.5</v>
      </c>
      <c r="AA51" s="24">
        <v>11.7</v>
      </c>
      <c r="AB51" s="14">
        <f>IF(AND(X51&gt;Y51,Z51&gt;=AA51,X51&gt;0),1,0)</f>
        <v>0</v>
      </c>
      <c r="AC51" s="12" t="str">
        <f>IF(X51&gt;J51,"Yes","No")</f>
        <v>No</v>
      </c>
      <c r="AD51" s="14">
        <f>IF(X51&gt;J51,1,0)</f>
        <v>0</v>
      </c>
      <c r="AE51" s="26">
        <v>14541.4</v>
      </c>
      <c r="AF51" s="26">
        <v>54036.2</v>
      </c>
      <c r="AG51" s="17">
        <f>AE51/AF51</f>
        <v>0.26910478531058807</v>
      </c>
      <c r="AH51" s="26">
        <v>13407.6</v>
      </c>
      <c r="AI51" s="26">
        <v>50323.3</v>
      </c>
      <c r="AJ51" s="17">
        <f>AH51/AI51</f>
        <v>0.26642926835084346</v>
      </c>
      <c r="AK51" s="18">
        <f>IF(AG51&gt;=AJ51,1,0)</f>
        <v>1</v>
      </c>
      <c r="AL51" s="28">
        <v>0</v>
      </c>
      <c r="AM51" s="28">
        <v>0</v>
      </c>
      <c r="AN51" s="18">
        <f>IF(AL51&lt;=AM51,1,0)</f>
        <v>1</v>
      </c>
      <c r="AO51" s="28">
        <v>0.36</v>
      </c>
      <c r="AP51" s="28">
        <v>0.31</v>
      </c>
      <c r="AQ51" s="18">
        <f>IF(AO51&gt;AP51,1,0)</f>
        <v>1</v>
      </c>
      <c r="AR51" s="28">
        <v>14.61</v>
      </c>
      <c r="AS51" s="28">
        <v>2.04</v>
      </c>
      <c r="AT51" s="14">
        <f>IF(AR51&gt;=AS51,1,0)</f>
        <v>1</v>
      </c>
      <c r="AU51" s="20">
        <f>SUM(I51,N51,AB51,AD51,AK51,AN51,AQ51,AT51,F51,W51)</f>
        <v>6</v>
      </c>
    </row>
    <row r="52" spans="1:47" customFormat="1" ht="15.6" x14ac:dyDescent="0.3">
      <c r="A52" s="11">
        <v>51</v>
      </c>
      <c r="B52" s="22" t="s">
        <v>97</v>
      </c>
      <c r="C52" s="23">
        <v>99380.7</v>
      </c>
      <c r="D52" s="24">
        <v>21.34</v>
      </c>
      <c r="E52" s="24">
        <v>32.840000000000003</v>
      </c>
      <c r="F52" s="14">
        <f>IF(OR(D52&gt;=E52,D52=0),0,1)</f>
        <v>1</v>
      </c>
      <c r="G52" s="24">
        <v>4.1500000000000004</v>
      </c>
      <c r="H52" s="24">
        <v>11.29</v>
      </c>
      <c r="I52" s="14">
        <f>IF(AND(H52&lt;=1,H52&gt;0),1,0)</f>
        <v>0</v>
      </c>
      <c r="J52" s="24">
        <v>4672.6000000000004</v>
      </c>
      <c r="K52" s="24">
        <v>3972.8</v>
      </c>
      <c r="L52" s="24">
        <v>20.63</v>
      </c>
      <c r="M52" s="24">
        <v>20.329999999999998</v>
      </c>
      <c r="N52" s="14">
        <f>IF(AND(J52&gt;K52,L52&gt;=M52),1,0)</f>
        <v>1</v>
      </c>
      <c r="O52" s="15">
        <v>1170.9000000000001</v>
      </c>
      <c r="P52" s="15">
        <v>1026.2</v>
      </c>
      <c r="Q52" s="15">
        <v>920.2</v>
      </c>
      <c r="R52" s="15">
        <v>1482.5</v>
      </c>
      <c r="S52" s="15">
        <v>1246.0999999999999</v>
      </c>
      <c r="T52" s="15">
        <v>789.6</v>
      </c>
      <c r="U52" s="15">
        <v>800.7</v>
      </c>
      <c r="V52" s="15">
        <v>1086.9000000000001</v>
      </c>
      <c r="W52" s="14">
        <f>IF(AND(O52&gt;S52,P52&gt;T52,Q52&gt;U52,R52&gt;V52),1,0)</f>
        <v>0</v>
      </c>
      <c r="X52" s="24">
        <v>6776.7</v>
      </c>
      <c r="Y52" s="24">
        <v>3196.3</v>
      </c>
      <c r="Z52" s="24">
        <v>28.71</v>
      </c>
      <c r="AA52" s="24">
        <v>16.350000000000001</v>
      </c>
      <c r="AB52" s="14">
        <f>IF(AND(X52&gt;Y52,Z52&gt;=AA52,X52&gt;0),1,0)</f>
        <v>1</v>
      </c>
      <c r="AC52" s="12" t="str">
        <f>IF(X52&gt;J52,"Yes","No")</f>
        <v>Yes</v>
      </c>
      <c r="AD52" s="14">
        <f>IF(X52&gt;J52,1,0)</f>
        <v>1</v>
      </c>
      <c r="AE52" s="26">
        <v>17046.099999999999</v>
      </c>
      <c r="AF52" s="26">
        <v>9041.6</v>
      </c>
      <c r="AG52" s="17">
        <f>AE52/AF52</f>
        <v>1.8852968501150236</v>
      </c>
      <c r="AH52" s="26">
        <v>11501.4</v>
      </c>
      <c r="AI52" s="26">
        <v>5341.9</v>
      </c>
      <c r="AJ52" s="17">
        <f>AH52/AI52</f>
        <v>2.1530541567607031</v>
      </c>
      <c r="AK52" s="18">
        <f>IF(AG52&gt;=AJ52,1,0)</f>
        <v>0</v>
      </c>
      <c r="AL52" s="28">
        <v>0</v>
      </c>
      <c r="AM52" s="28">
        <v>0</v>
      </c>
      <c r="AN52" s="18">
        <f>IF(AL52&lt;=AM52,1,0)</f>
        <v>1</v>
      </c>
      <c r="AO52" s="28">
        <v>0.7</v>
      </c>
      <c r="AP52" s="28">
        <v>0.71</v>
      </c>
      <c r="AQ52" s="18">
        <f>IF(AO52&gt;AP52,1,0)</f>
        <v>0</v>
      </c>
      <c r="AR52" s="28">
        <v>30.02</v>
      </c>
      <c r="AS52" s="28">
        <v>27.15</v>
      </c>
      <c r="AT52" s="14">
        <f>IF(AR52&gt;=AS52,1,0)</f>
        <v>1</v>
      </c>
      <c r="AU52" s="20">
        <f>SUM(I52,N52,AB52,AD52,AK52,AN52,AQ52,AT52,F52,W52)</f>
        <v>6</v>
      </c>
    </row>
    <row r="53" spans="1:47" customFormat="1" ht="15.6" x14ac:dyDescent="0.3">
      <c r="A53" s="11">
        <v>52</v>
      </c>
      <c r="B53" s="22" t="s">
        <v>98</v>
      </c>
      <c r="C53" s="23">
        <v>99021.55</v>
      </c>
      <c r="D53" s="24">
        <v>63.1</v>
      </c>
      <c r="E53" s="24">
        <v>31.63</v>
      </c>
      <c r="F53" s="14">
        <f>IF(OR(D53&gt;=E53,D53=0),0,1)</f>
        <v>0</v>
      </c>
      <c r="G53" s="24">
        <v>12.22</v>
      </c>
      <c r="H53" s="24">
        <v>3.72</v>
      </c>
      <c r="I53" s="14">
        <f>IF(AND(H53&lt;=1,H53&gt;0),1,0)</f>
        <v>0</v>
      </c>
      <c r="J53" s="24">
        <v>1582</v>
      </c>
      <c r="K53" s="24">
        <v>1408</v>
      </c>
      <c r="L53" s="24">
        <v>12.45</v>
      </c>
      <c r="M53" s="24">
        <v>12.16</v>
      </c>
      <c r="N53" s="14">
        <f>IF(AND(J53&gt;K53,L53&gt;=M53),1,0)</f>
        <v>1</v>
      </c>
      <c r="O53" s="15">
        <v>417</v>
      </c>
      <c r="P53" s="15">
        <v>421</v>
      </c>
      <c r="Q53" s="15">
        <v>335</v>
      </c>
      <c r="R53" s="15">
        <v>341</v>
      </c>
      <c r="S53" s="15">
        <v>485</v>
      </c>
      <c r="T53" s="15">
        <v>241</v>
      </c>
      <c r="U53" s="15">
        <v>350.2</v>
      </c>
      <c r="V53" s="15">
        <v>339.3</v>
      </c>
      <c r="W53" s="14">
        <f>IF(AND(O53&gt;S53,P53&gt;T53,Q53&gt;U53,R53&gt;V53),1,0)</f>
        <v>0</v>
      </c>
      <c r="X53" s="24">
        <v>1947</v>
      </c>
      <c r="Y53" s="24">
        <v>1118</v>
      </c>
      <c r="Z53" s="24">
        <v>15.79</v>
      </c>
      <c r="AA53" s="24">
        <v>9.8800000000000008</v>
      </c>
      <c r="AB53" s="14">
        <f>IF(AND(X53&gt;Y53,Z53&gt;=AA53,X53&gt;0),1,0)</f>
        <v>1</v>
      </c>
      <c r="AC53" s="12" t="str">
        <f>IF(X53&gt;J53,"Yes","No")</f>
        <v>Yes</v>
      </c>
      <c r="AD53" s="14">
        <f>IF(X53&gt;J53,1,0)</f>
        <v>1</v>
      </c>
      <c r="AE53" s="27">
        <v>9202</v>
      </c>
      <c r="AF53" s="27">
        <v>4722</v>
      </c>
      <c r="AG53" s="17">
        <f>AE53/AF53</f>
        <v>1.9487505294366794</v>
      </c>
      <c r="AH53" s="27">
        <v>7377</v>
      </c>
      <c r="AI53" s="27">
        <v>3903</v>
      </c>
      <c r="AJ53" s="17">
        <f>AH53/AI53</f>
        <v>1.8900845503458878</v>
      </c>
      <c r="AK53" s="18">
        <f>IF(AG53&gt;=AJ53,1,0)</f>
        <v>1</v>
      </c>
      <c r="AL53" s="28">
        <v>0</v>
      </c>
      <c r="AM53" s="28">
        <v>0</v>
      </c>
      <c r="AN53" s="18">
        <f>IF(AL53&lt;=AM53,1,0)</f>
        <v>1</v>
      </c>
      <c r="AO53" s="28">
        <v>0.99</v>
      </c>
      <c r="AP53" s="28">
        <v>1.08</v>
      </c>
      <c r="AQ53" s="18">
        <f>IF(AO53&gt;AP53,1,0)</f>
        <v>0</v>
      </c>
      <c r="AR53" s="28">
        <v>18.079999999999998</v>
      </c>
      <c r="AS53" s="28">
        <v>17.329999999999998</v>
      </c>
      <c r="AT53" s="14">
        <f>IF(AR53&gt;=AS53,1,0)</f>
        <v>1</v>
      </c>
      <c r="AU53" s="20">
        <f>SUM(I53,N53,AB53,AD53,AK53,AN53,AQ53,AT53,F53,W53)</f>
        <v>6</v>
      </c>
    </row>
    <row r="54" spans="1:47" customFormat="1" ht="15.6" x14ac:dyDescent="0.3">
      <c r="A54" s="11">
        <v>53</v>
      </c>
      <c r="B54" s="22" t="s">
        <v>99</v>
      </c>
      <c r="C54" s="23">
        <v>98732.73</v>
      </c>
      <c r="D54" s="24">
        <v>5.72</v>
      </c>
      <c r="E54" s="24">
        <v>23.62</v>
      </c>
      <c r="F54" s="14">
        <f>IF(OR(D54&gt;=E54,D54=0),0,1)</f>
        <v>1</v>
      </c>
      <c r="G54" s="24">
        <v>1.18</v>
      </c>
      <c r="H54" s="24">
        <v>0.34</v>
      </c>
      <c r="I54" s="14">
        <f>IF(AND(H54&lt;=1,H54&gt;0),1,0)</f>
        <v>1</v>
      </c>
      <c r="J54" s="24">
        <v>15884.23</v>
      </c>
      <c r="K54" s="24">
        <v>14145.46</v>
      </c>
      <c r="L54" s="24">
        <v>28.18</v>
      </c>
      <c r="M54" s="24">
        <v>29.78</v>
      </c>
      <c r="N54" s="14">
        <f>IF(AND(J54&gt;K54,L54&gt;=M54),1,0)</f>
        <v>0</v>
      </c>
      <c r="O54" s="15">
        <v>4465.7</v>
      </c>
      <c r="P54" s="15">
        <v>4310</v>
      </c>
      <c r="Q54" s="15">
        <v>4076.4</v>
      </c>
      <c r="R54" s="15">
        <v>4037.7</v>
      </c>
      <c r="S54" s="15">
        <v>3460.2</v>
      </c>
      <c r="T54" s="15">
        <v>4079.1</v>
      </c>
      <c r="U54" s="15">
        <v>3308.4</v>
      </c>
      <c r="V54" s="15">
        <v>3789.9</v>
      </c>
      <c r="W54" s="14">
        <f>IF(AND(O54&gt;S54,P54&gt;T54,Q54&gt;U54,R54&gt;V54),1,0)</f>
        <v>1</v>
      </c>
      <c r="X54" s="24">
        <v>-39064.080000000002</v>
      </c>
      <c r="Y54" s="24">
        <v>-57722.64</v>
      </c>
      <c r="Z54" s="24">
        <v>-65.64</v>
      </c>
      <c r="AA54" s="24">
        <v>-121.48</v>
      </c>
      <c r="AB54" s="14">
        <f>IF(AND(X54&gt;Y54,Z54&gt;=AA54,X54&gt;0),1,0)</f>
        <v>0</v>
      </c>
      <c r="AC54" s="12" t="str">
        <f>IF(X54&gt;J54,"Yes","No")</f>
        <v>No</v>
      </c>
      <c r="AD54" s="14">
        <f>IF(X54&gt;J54,1,0)</f>
        <v>0</v>
      </c>
      <c r="AE54" s="26">
        <v>610382.5</v>
      </c>
      <c r="AF54" s="27">
        <v>535717</v>
      </c>
      <c r="AG54" s="17">
        <f>AE54/AF54</f>
        <v>1.1393748938338712</v>
      </c>
      <c r="AH54" s="26">
        <v>544608.30000000005</v>
      </c>
      <c r="AI54" s="26">
        <v>478377.2</v>
      </c>
      <c r="AJ54" s="17">
        <f>AH54/AI54</f>
        <v>1.1384495331299236</v>
      </c>
      <c r="AK54" s="18">
        <f>IF(AG54&gt;=AJ54,1,0)</f>
        <v>1</v>
      </c>
      <c r="AL54" s="28">
        <v>0</v>
      </c>
      <c r="AM54" s="28">
        <v>0</v>
      </c>
      <c r="AN54" s="18">
        <f>IF(AL54&lt;=AM54,1,0)</f>
        <v>1</v>
      </c>
      <c r="AO54" s="28">
        <v>0.1</v>
      </c>
      <c r="AP54" s="28">
        <v>0.09</v>
      </c>
      <c r="AQ54" s="18">
        <f>IF(AO54&gt;AP54,1,0)</f>
        <v>1</v>
      </c>
      <c r="AR54" s="28">
        <v>96.05</v>
      </c>
      <c r="AS54" s="28">
        <v>100.62</v>
      </c>
      <c r="AT54" s="14">
        <f>IF(AR54&gt;=AS54,1,0)</f>
        <v>0</v>
      </c>
      <c r="AU54" s="20">
        <f>SUM(I54,N54,AB54,AD54,AK54,AN54,AQ54,AT54,F54,W54)</f>
        <v>6</v>
      </c>
    </row>
    <row r="55" spans="1:47" customFormat="1" ht="15.6" x14ac:dyDescent="0.3">
      <c r="A55" s="11">
        <v>54</v>
      </c>
      <c r="B55" s="22" t="s">
        <v>100</v>
      </c>
      <c r="C55" s="23">
        <v>90796.17</v>
      </c>
      <c r="D55" s="24">
        <v>54.53</v>
      </c>
      <c r="E55" s="24">
        <v>29.47</v>
      </c>
      <c r="F55" s="14">
        <f>IF(OR(D55&gt;=E55,D55=0),0,1)</f>
        <v>0</v>
      </c>
      <c r="G55" s="24">
        <v>12.59</v>
      </c>
      <c r="H55" s="24">
        <v>2.02</v>
      </c>
      <c r="I55" s="14">
        <f>IF(AND(H55&lt;=1,H55&gt;0),1,0)</f>
        <v>0</v>
      </c>
      <c r="J55" s="24">
        <v>1400.16</v>
      </c>
      <c r="K55" s="24">
        <v>1093.49</v>
      </c>
      <c r="L55" s="24">
        <v>11.37</v>
      </c>
      <c r="M55" s="24">
        <v>10.9</v>
      </c>
      <c r="N55" s="14">
        <f>IF(AND(J55&gt;K55,L55&gt;=M55),1,0)</f>
        <v>1</v>
      </c>
      <c r="O55" s="15">
        <v>424.9</v>
      </c>
      <c r="P55" s="15">
        <v>395.8</v>
      </c>
      <c r="Q55" s="15">
        <v>373</v>
      </c>
      <c r="R55" s="15">
        <v>325</v>
      </c>
      <c r="S55" s="15">
        <v>306.39999999999998</v>
      </c>
      <c r="T55" s="15">
        <v>315.3</v>
      </c>
      <c r="U55" s="15">
        <v>286.10000000000002</v>
      </c>
      <c r="V55" s="15">
        <v>263.3</v>
      </c>
      <c r="W55" s="14">
        <f>IF(AND(O55&gt;S55,P55&gt;T55,Q55&gt;U55,R55&gt;V55),1,0)</f>
        <v>1</v>
      </c>
      <c r="X55" s="24">
        <v>1156.92</v>
      </c>
      <c r="Y55" s="24">
        <v>1302.1099999999999</v>
      </c>
      <c r="Z55" s="24">
        <v>8.75</v>
      </c>
      <c r="AA55" s="24">
        <v>13.26</v>
      </c>
      <c r="AB55" s="14">
        <f>IF(AND(X55&gt;Y55,Z55&gt;=AA55,X55&gt;0),1,0)</f>
        <v>0</v>
      </c>
      <c r="AC55" s="12" t="str">
        <f>IF(X55&gt;J55,"Yes","No")</f>
        <v>No</v>
      </c>
      <c r="AD55" s="14">
        <f>IF(X55&gt;J55,1,0)</f>
        <v>0</v>
      </c>
      <c r="AE55" s="27">
        <v>5026</v>
      </c>
      <c r="AF55" s="26">
        <v>2132.8000000000002</v>
      </c>
      <c r="AG55" s="17">
        <f>AE55/AF55</f>
        <v>2.3565266316579141</v>
      </c>
      <c r="AH55" s="26">
        <v>4123.2</v>
      </c>
      <c r="AI55" s="26">
        <v>2184.1999999999998</v>
      </c>
      <c r="AJ55" s="17">
        <f>AH55/AI55</f>
        <v>1.8877392180203278</v>
      </c>
      <c r="AK55" s="18">
        <f>IF(AG55&gt;=AJ55,1,0)</f>
        <v>1</v>
      </c>
      <c r="AL55" s="28">
        <v>0</v>
      </c>
      <c r="AM55" s="28">
        <v>0</v>
      </c>
      <c r="AN55" s="18">
        <f>IF(AL55&lt;=AM55,1,0)</f>
        <v>1</v>
      </c>
      <c r="AO55" s="28">
        <v>1.48</v>
      </c>
      <c r="AP55" s="28">
        <v>1.4</v>
      </c>
      <c r="AQ55" s="18">
        <f>IF(AO55&gt;AP55,1,0)</f>
        <v>1</v>
      </c>
      <c r="AR55" s="28">
        <v>17.04</v>
      </c>
      <c r="AS55" s="28">
        <v>16.84</v>
      </c>
      <c r="AT55" s="14">
        <f>IF(AR55&gt;=AS55,1,0)</f>
        <v>1</v>
      </c>
      <c r="AU55" s="20">
        <f>SUM(I55,N55,AB55,AD55,AK55,AN55,AQ55,AT55,F55,W55)</f>
        <v>6</v>
      </c>
    </row>
    <row r="56" spans="1:47" customFormat="1" ht="15.6" x14ac:dyDescent="0.3">
      <c r="A56" s="11">
        <v>55</v>
      </c>
      <c r="B56" s="22" t="s">
        <v>101</v>
      </c>
      <c r="C56" s="23">
        <v>88611.03</v>
      </c>
      <c r="D56" s="24">
        <v>23.95</v>
      </c>
      <c r="E56" s="24">
        <v>32.840000000000003</v>
      </c>
      <c r="F56" s="14">
        <f>IF(OR(D56&gt;=E56,D56=0),0,1)</f>
        <v>1</v>
      </c>
      <c r="G56" s="24">
        <v>5.15</v>
      </c>
      <c r="H56" s="24">
        <v>0.4</v>
      </c>
      <c r="I56" s="14">
        <f>IF(AND(H56&lt;=1,H56&gt;0),1,0)</f>
        <v>1</v>
      </c>
      <c r="J56" s="24">
        <v>3306.26</v>
      </c>
      <c r="K56" s="24">
        <v>1935.57</v>
      </c>
      <c r="L56" s="24">
        <v>14.41</v>
      </c>
      <c r="M56" s="24">
        <v>9.56</v>
      </c>
      <c r="N56" s="14">
        <f>IF(AND(J56&gt;K56,L56&gt;=M56),1,0)</f>
        <v>1</v>
      </c>
      <c r="O56" s="15">
        <v>772.5</v>
      </c>
      <c r="P56" s="15">
        <v>855.2</v>
      </c>
      <c r="Q56" s="15">
        <v>852.6</v>
      </c>
      <c r="R56" s="15">
        <v>801.3</v>
      </c>
      <c r="S56" s="15">
        <v>359.4</v>
      </c>
      <c r="T56" s="15">
        <v>613.1</v>
      </c>
      <c r="U56" s="15">
        <v>489.5</v>
      </c>
      <c r="V56" s="15">
        <v>452.3</v>
      </c>
      <c r="W56" s="14">
        <f>IF(AND(O56&gt;S56,P56&gt;T56,Q56&gt;U56,R56&gt;V56),1,0)</f>
        <v>1</v>
      </c>
      <c r="X56" s="24">
        <v>2999.94</v>
      </c>
      <c r="Y56" s="24">
        <v>3648.36</v>
      </c>
      <c r="Z56" s="24">
        <v>12.83</v>
      </c>
      <c r="AA56" s="24">
        <v>18.23</v>
      </c>
      <c r="AB56" s="14">
        <f>IF(AND(X56&gt;Y56,Z56&gt;=AA56,X56&gt;0),1,0)</f>
        <v>0</v>
      </c>
      <c r="AC56" s="12" t="str">
        <f>IF(X56&gt;J56,"Yes","No")</f>
        <v>No</v>
      </c>
      <c r="AD56" s="14">
        <f>IF(X56&gt;J56,1,0)</f>
        <v>0</v>
      </c>
      <c r="AE56" s="26">
        <v>16798.599999999999</v>
      </c>
      <c r="AF56" s="26">
        <v>8961.4</v>
      </c>
      <c r="AG56" s="17">
        <f>AE56/AF56</f>
        <v>1.874550851429464</v>
      </c>
      <c r="AH56" s="26">
        <v>13447.7</v>
      </c>
      <c r="AI56" s="26">
        <v>8501.5</v>
      </c>
      <c r="AJ56" s="17">
        <f>AH56/AI56</f>
        <v>1.581803211198024</v>
      </c>
      <c r="AK56" s="18">
        <f>IF(AG56&gt;=AJ56,1,0)</f>
        <v>1</v>
      </c>
      <c r="AL56" s="28">
        <v>0.1</v>
      </c>
      <c r="AM56" s="28">
        <v>0</v>
      </c>
      <c r="AN56" s="18">
        <f>IF(AL56&lt;=AM56,1,0)</f>
        <v>0</v>
      </c>
      <c r="AO56" s="28">
        <v>0.85</v>
      </c>
      <c r="AP56" s="28">
        <v>0.85</v>
      </c>
      <c r="AQ56" s="18">
        <f>IF(AO56&gt;AP56,1,0)</f>
        <v>0</v>
      </c>
      <c r="AR56" s="28">
        <v>23.07</v>
      </c>
      <c r="AS56" s="28">
        <v>18.93</v>
      </c>
      <c r="AT56" s="14">
        <f>IF(AR56&gt;=AS56,1,0)</f>
        <v>1</v>
      </c>
      <c r="AU56" s="20">
        <f>SUM(I56,N56,AB56,AD56,AK56,AN56,AQ56,AT56,F56,W56)</f>
        <v>6</v>
      </c>
    </row>
    <row r="57" spans="1:47" customFormat="1" ht="15.6" x14ac:dyDescent="0.3">
      <c r="A57" s="11">
        <v>56</v>
      </c>
      <c r="B57" s="22" t="s">
        <v>102</v>
      </c>
      <c r="C57" s="23">
        <v>80999.759999999995</v>
      </c>
      <c r="D57" s="24">
        <v>279.5</v>
      </c>
      <c r="E57" s="24">
        <v>49.5</v>
      </c>
      <c r="F57" s="14">
        <f>IF(OR(D57&gt;=E57,D57=0),0,1)</f>
        <v>0</v>
      </c>
      <c r="G57" s="24">
        <v>3.28</v>
      </c>
      <c r="H57" s="24">
        <v>49.29</v>
      </c>
      <c r="I57" s="14">
        <f>IF(AND(H57&lt;=1,H57&gt;0),1,0)</f>
        <v>0</v>
      </c>
      <c r="J57" s="24">
        <v>533.9</v>
      </c>
      <c r="K57" s="24">
        <v>282.22000000000003</v>
      </c>
      <c r="L57" s="24">
        <v>1.84</v>
      </c>
      <c r="M57" s="24">
        <v>1.1599999999999999</v>
      </c>
      <c r="N57" s="14">
        <f>IF(AND(J57&gt;K57,L57&gt;=M57),1,0)</f>
        <v>1</v>
      </c>
      <c r="O57" s="15">
        <v>-455.5</v>
      </c>
      <c r="P57" s="15">
        <v>504.5</v>
      </c>
      <c r="Q57" s="15">
        <v>134.69999999999999</v>
      </c>
      <c r="R57" s="15">
        <v>106.2</v>
      </c>
      <c r="S57" s="15">
        <v>-211.4</v>
      </c>
      <c r="T57" s="15">
        <v>489.6</v>
      </c>
      <c r="U57" s="15">
        <v>-148.80000000000001</v>
      </c>
      <c r="V57" s="15">
        <v>-238.1</v>
      </c>
      <c r="W57" s="14">
        <f>IF(AND(O57&gt;S57,P57&gt;T57,Q57&gt;U57,R57&gt;V57),1,0)</f>
        <v>0</v>
      </c>
      <c r="X57" s="24">
        <v>2191.89</v>
      </c>
      <c r="Y57" s="24">
        <v>-3712.9</v>
      </c>
      <c r="Z57" s="24">
        <v>7.73</v>
      </c>
      <c r="AA57" s="24">
        <v>-15.54</v>
      </c>
      <c r="AB57" s="14">
        <f>IF(AND(X57&gt;Y57,Z57&gt;=AA57,X57&gt;0),1,0)</f>
        <v>1</v>
      </c>
      <c r="AC57" s="12" t="str">
        <f>IF(X57&gt;J57,"Yes","No")</f>
        <v>Yes</v>
      </c>
      <c r="AD57" s="14">
        <f>IF(X57&gt;J57,1,0)</f>
        <v>1</v>
      </c>
      <c r="AE57" s="26">
        <v>1471.4</v>
      </c>
      <c r="AF57" s="26">
        <v>1607.3</v>
      </c>
      <c r="AG57" s="17">
        <f>AE57/AF57</f>
        <v>0.91544826728053263</v>
      </c>
      <c r="AH57" s="26">
        <v>1420.6</v>
      </c>
      <c r="AI57" s="26">
        <v>3170.2</v>
      </c>
      <c r="AJ57" s="17">
        <f>AH57/AI57</f>
        <v>0.44811052930414486</v>
      </c>
      <c r="AK57" s="18">
        <f>IF(AG57&gt;=AJ57,1,0)</f>
        <v>1</v>
      </c>
      <c r="AL57" s="28">
        <v>0.23</v>
      </c>
      <c r="AM57" s="28">
        <v>0.1</v>
      </c>
      <c r="AN57" s="18">
        <f>IF(AL57&lt;=AM57,1,0)</f>
        <v>0</v>
      </c>
      <c r="AO57" s="28">
        <v>0.57999999999999996</v>
      </c>
      <c r="AP57" s="28">
        <v>0.54</v>
      </c>
      <c r="AQ57" s="18">
        <f>IF(AO57&gt;AP57,1,0)</f>
        <v>1</v>
      </c>
      <c r="AR57" s="28">
        <v>20.23</v>
      </c>
      <c r="AS57" s="28">
        <v>18.29</v>
      </c>
      <c r="AT57" s="14">
        <f>IF(AR57&gt;=AS57,1,0)</f>
        <v>1</v>
      </c>
      <c r="AU57" s="20">
        <f>SUM(I57,N57,AB57,AD57,AK57,AN57,AQ57,AT57,F57,W57)</f>
        <v>6</v>
      </c>
    </row>
    <row r="58" spans="1:47" customFormat="1" ht="15.6" x14ac:dyDescent="0.3">
      <c r="A58" s="11">
        <v>57</v>
      </c>
      <c r="B58" s="22" t="s">
        <v>103</v>
      </c>
      <c r="C58" s="23">
        <v>77729.75</v>
      </c>
      <c r="D58" s="24">
        <v>153.87</v>
      </c>
      <c r="E58" s="24">
        <v>49.5</v>
      </c>
      <c r="F58" s="14">
        <f>IF(OR(D58&gt;=E58,D58=0),0,1)</f>
        <v>0</v>
      </c>
      <c r="G58" s="24">
        <v>18.45</v>
      </c>
      <c r="H58" s="24">
        <v>5.34</v>
      </c>
      <c r="I58" s="14">
        <f>IF(AND(H58&lt;=1,H58&gt;0),1,0)</f>
        <v>0</v>
      </c>
      <c r="J58" s="24">
        <v>383.98</v>
      </c>
      <c r="K58" s="24">
        <v>163.78</v>
      </c>
      <c r="L58" s="24">
        <v>6.02</v>
      </c>
      <c r="M58" s="24">
        <v>3.13</v>
      </c>
      <c r="N58" s="14">
        <f>IF(AND(J58&gt;K58,L58&gt;=M58),1,0)</f>
        <v>1</v>
      </c>
      <c r="O58" s="15">
        <v>183.9</v>
      </c>
      <c r="P58" s="15">
        <v>137.4</v>
      </c>
      <c r="Q58" s="15">
        <v>52.3</v>
      </c>
      <c r="R58" s="15">
        <v>10.4</v>
      </c>
      <c r="S58" s="15">
        <v>113.7</v>
      </c>
      <c r="T58" s="15">
        <v>23</v>
      </c>
      <c r="U58" s="15">
        <v>24.7</v>
      </c>
      <c r="V58" s="15">
        <v>2.4</v>
      </c>
      <c r="W58" s="14">
        <f>IF(AND(O58&gt;S58,P58&gt;T58,Q58&gt;U58,R58&gt;V58),1,0)</f>
        <v>1</v>
      </c>
      <c r="X58" s="24">
        <v>1493.77</v>
      </c>
      <c r="Y58" s="24">
        <v>252.31</v>
      </c>
      <c r="Z58" s="24">
        <v>22.85</v>
      </c>
      <c r="AA58" s="24">
        <v>4.82</v>
      </c>
      <c r="AB58" s="14">
        <f>IF(AND(X58&gt;Y58,Z58&gt;=AA58,X58&gt;0),1,0)</f>
        <v>1</v>
      </c>
      <c r="AC58" s="12" t="str">
        <f>IF(X58&gt;J58,"Yes","No")</f>
        <v>Yes</v>
      </c>
      <c r="AD58" s="14">
        <f>IF(X58&gt;J58,1,0)</f>
        <v>1</v>
      </c>
      <c r="AE58" s="26">
        <v>270860.09999999998</v>
      </c>
      <c r="AF58" s="26">
        <v>147072.6</v>
      </c>
      <c r="AG58" s="17">
        <f>AE58/AF58</f>
        <v>1.8416761517781013</v>
      </c>
      <c r="AH58" s="26">
        <v>224738.5</v>
      </c>
      <c r="AI58" s="26">
        <v>75970.7</v>
      </c>
      <c r="AJ58" s="17">
        <f>AH58/AI58</f>
        <v>2.9582260002869529</v>
      </c>
      <c r="AK58" s="18">
        <f>IF(AG58&gt;=AJ58,1,0)</f>
        <v>0</v>
      </c>
      <c r="AL58" s="28">
        <v>0</v>
      </c>
      <c r="AM58" s="28">
        <v>1.52</v>
      </c>
      <c r="AN58" s="18">
        <f>IF(AL58&lt;=AM58,1,0)</f>
        <v>1</v>
      </c>
      <c r="AO58" s="28">
        <v>0.16</v>
      </c>
      <c r="AP58" s="28">
        <v>0.17</v>
      </c>
      <c r="AQ58" s="18">
        <f>IF(AO58&gt;AP58,1,0)</f>
        <v>0</v>
      </c>
      <c r="AR58" s="28">
        <v>34.950000000000003</v>
      </c>
      <c r="AS58" s="28">
        <v>34.82</v>
      </c>
      <c r="AT58" s="14">
        <f>IF(AR58&gt;=AS58,1,0)</f>
        <v>1</v>
      </c>
      <c r="AU58" s="20">
        <f>SUM(I58,N58,AB58,AD58,AK58,AN58,AQ58,AT58,F58,W58)</f>
        <v>6</v>
      </c>
    </row>
    <row r="59" spans="1:47" customFormat="1" ht="15.6" x14ac:dyDescent="0.3">
      <c r="A59" s="11">
        <v>58</v>
      </c>
      <c r="B59" s="22" t="s">
        <v>104</v>
      </c>
      <c r="C59" s="23">
        <v>75780.56</v>
      </c>
      <c r="D59" s="24">
        <v>99.06</v>
      </c>
      <c r="E59" s="24">
        <v>49.5</v>
      </c>
      <c r="F59" s="14">
        <f>IF(OR(D59&gt;=E59,D59=0),0,1)</f>
        <v>0</v>
      </c>
      <c r="G59" s="24">
        <v>42.74</v>
      </c>
      <c r="H59" s="24">
        <v>1.22</v>
      </c>
      <c r="I59" s="14">
        <f>IF(AND(H59&lt;=1,H59&gt;0),1,0)</f>
        <v>0</v>
      </c>
      <c r="J59" s="24">
        <v>608.33000000000004</v>
      </c>
      <c r="K59" s="24">
        <v>181.05</v>
      </c>
      <c r="L59" s="24">
        <v>14.17</v>
      </c>
      <c r="M59" s="24">
        <v>5.72</v>
      </c>
      <c r="N59" s="14">
        <f>IF(AND(J59&gt;K59,L59&gt;=M59),1,0)</f>
        <v>1</v>
      </c>
      <c r="O59" s="15">
        <v>186.5</v>
      </c>
      <c r="P59" s="15">
        <v>142.69999999999999</v>
      </c>
      <c r="Q59" s="15">
        <v>144.6</v>
      </c>
      <c r="R59" s="15">
        <v>134.5</v>
      </c>
      <c r="S59" s="15">
        <v>66.3</v>
      </c>
      <c r="T59" s="15">
        <v>49.4</v>
      </c>
      <c r="U59" s="15">
        <v>37.200000000000003</v>
      </c>
      <c r="V59" s="15">
        <v>49</v>
      </c>
      <c r="W59" s="14">
        <f>IF(AND(O59&gt;S59,P59&gt;T59,Q59&gt;U59,R59&gt;V59),1,0)</f>
        <v>1</v>
      </c>
      <c r="X59" s="24">
        <v>903.58</v>
      </c>
      <c r="Y59" s="24">
        <v>518.36</v>
      </c>
      <c r="Z59" s="24">
        <v>19.37</v>
      </c>
      <c r="AA59" s="24">
        <v>16.36</v>
      </c>
      <c r="AB59" s="14">
        <f>IF(AND(X59&gt;Y59,Z59&gt;=AA59,X59&gt;0),1,0)</f>
        <v>1</v>
      </c>
      <c r="AC59" s="12" t="str">
        <f>IF(X59&gt;J59,"Yes","No")</f>
        <v>Yes</v>
      </c>
      <c r="AD59" s="14">
        <f>IF(X59&gt;J59,1,0)</f>
        <v>1</v>
      </c>
      <c r="AE59" s="26">
        <v>7945.8</v>
      </c>
      <c r="AF59" s="26">
        <v>1150.9000000000001</v>
      </c>
      <c r="AG59" s="17">
        <f>AE59/AF59</f>
        <v>6.9039881831610037</v>
      </c>
      <c r="AH59" s="26">
        <v>7651.4</v>
      </c>
      <c r="AI59" s="26">
        <v>1279.8</v>
      </c>
      <c r="AJ59" s="17">
        <f>AH59/AI59</f>
        <v>5.9785904047507419</v>
      </c>
      <c r="AK59" s="18">
        <f>IF(AG59&gt;=AJ59,1,0)</f>
        <v>1</v>
      </c>
      <c r="AL59" s="28">
        <v>0</v>
      </c>
      <c r="AM59" s="28">
        <v>0</v>
      </c>
      <c r="AN59" s="18">
        <f>IF(AL59&lt;=AM59,1,0)</f>
        <v>1</v>
      </c>
      <c r="AO59" s="28">
        <v>0.68</v>
      </c>
      <c r="AP59" s="28">
        <v>0.7</v>
      </c>
      <c r="AQ59" s="18">
        <f>IF(AO59&gt;AP59,1,0)</f>
        <v>0</v>
      </c>
      <c r="AR59" s="28">
        <v>43.02</v>
      </c>
      <c r="AS59" s="28">
        <v>46.38</v>
      </c>
      <c r="AT59" s="14">
        <f>IF(AR59&gt;=AS59,1,0)</f>
        <v>0</v>
      </c>
      <c r="AU59" s="20">
        <f>SUM(I59,N59,AB59,AD59,AK59,AN59,AQ59,AT59,F59,W59)</f>
        <v>6</v>
      </c>
    </row>
    <row r="60" spans="1:47" customFormat="1" ht="15.6" x14ac:dyDescent="0.3">
      <c r="A60" s="11">
        <v>59</v>
      </c>
      <c r="B60" s="22" t="s">
        <v>105</v>
      </c>
      <c r="C60" s="23">
        <v>75643.33</v>
      </c>
      <c r="D60" s="24">
        <v>200.42</v>
      </c>
      <c r="E60" s="24">
        <v>42.23</v>
      </c>
      <c r="F60" s="14">
        <f>IF(OR(D60&gt;=E60,D60=0),0,1)</f>
        <v>0</v>
      </c>
      <c r="G60" s="24">
        <v>11.76</v>
      </c>
      <c r="H60" s="24">
        <v>5.98</v>
      </c>
      <c r="I60" s="14">
        <f>IF(AND(H60&lt;=1,H60&gt;0),1,0)</f>
        <v>0</v>
      </c>
      <c r="J60" s="24">
        <v>353.16</v>
      </c>
      <c r="K60" s="24">
        <v>64.41</v>
      </c>
      <c r="L60" s="24">
        <v>6.34</v>
      </c>
      <c r="M60" s="24">
        <v>1.87</v>
      </c>
      <c r="N60" s="14">
        <f>IF(AND(J60&gt;K60,L60&gt;=M60),1,0)</f>
        <v>1</v>
      </c>
      <c r="O60" s="15">
        <v>84.6</v>
      </c>
      <c r="P60" s="15">
        <v>170.6</v>
      </c>
      <c r="Q60" s="15">
        <v>71.5</v>
      </c>
      <c r="R60" s="15">
        <v>50.7</v>
      </c>
      <c r="S60" s="15">
        <v>60.2</v>
      </c>
      <c r="T60" s="15">
        <v>60.6</v>
      </c>
      <c r="U60" s="15">
        <v>38.1</v>
      </c>
      <c r="V60" s="15">
        <v>-20.2</v>
      </c>
      <c r="W60" s="14">
        <f>IF(AND(O60&gt;S60,P60&gt;T60,Q60&gt;U60,R60&gt;V60),1,0)</f>
        <v>1</v>
      </c>
      <c r="X60" s="24">
        <v>-183.14</v>
      </c>
      <c r="Y60" s="24">
        <v>8.65</v>
      </c>
      <c r="Z60" s="24">
        <v>-3.45</v>
      </c>
      <c r="AA60" s="24">
        <v>0.25</v>
      </c>
      <c r="AB60" s="14">
        <f>IF(AND(X60&gt;Y60,Z60&gt;=AA60,X60&gt;0),1,0)</f>
        <v>0</v>
      </c>
      <c r="AC60" s="12" t="str">
        <f>IF(X60&gt;J60,"Yes","No")</f>
        <v>No</v>
      </c>
      <c r="AD60" s="14">
        <f>IF(X60&gt;J60,1,0)</f>
        <v>0</v>
      </c>
      <c r="AE60" s="26">
        <v>3672.5</v>
      </c>
      <c r="AF60" s="26">
        <v>2789.7</v>
      </c>
      <c r="AG60" s="17">
        <f>AE60/AF60</f>
        <v>1.3164497974692619</v>
      </c>
      <c r="AH60" s="26">
        <v>2634.3</v>
      </c>
      <c r="AI60" s="27">
        <v>2251</v>
      </c>
      <c r="AJ60" s="17">
        <f>AH60/AI60</f>
        <v>1.1702798756108397</v>
      </c>
      <c r="AK60" s="18">
        <f>IF(AG60&gt;=AJ60,1,0)</f>
        <v>1</v>
      </c>
      <c r="AL60" s="28">
        <v>0</v>
      </c>
      <c r="AM60" s="28">
        <v>0</v>
      </c>
      <c r="AN60" s="18">
        <f>IF(AL60&lt;=AM60,1,0)</f>
        <v>1</v>
      </c>
      <c r="AO60" s="28">
        <v>1.04</v>
      </c>
      <c r="AP60" s="28">
        <v>0.87</v>
      </c>
      <c r="AQ60" s="18">
        <f>IF(AO60&gt;AP60,1,0)</f>
        <v>1</v>
      </c>
      <c r="AR60" s="28">
        <v>18.8</v>
      </c>
      <c r="AS60" s="28">
        <v>10</v>
      </c>
      <c r="AT60" s="14">
        <f>IF(AR60&gt;=AS60,1,0)</f>
        <v>1</v>
      </c>
      <c r="AU60" s="20">
        <f>SUM(I60,N60,AB60,AD60,AK60,AN60,AQ60,AT60,F60,W60)</f>
        <v>6</v>
      </c>
    </row>
    <row r="61" spans="1:47" customFormat="1" ht="15.6" x14ac:dyDescent="0.3">
      <c r="A61" s="11">
        <v>60</v>
      </c>
      <c r="B61" s="22" t="s">
        <v>106</v>
      </c>
      <c r="C61" s="23">
        <v>69803.37</v>
      </c>
      <c r="D61" s="24">
        <v>24.61</v>
      </c>
      <c r="E61" s="24">
        <v>12.63</v>
      </c>
      <c r="F61" s="14">
        <f>IF(OR(D61&gt;=E61,D61=0),0,1)</f>
        <v>0</v>
      </c>
      <c r="G61" s="24">
        <v>1.42</v>
      </c>
      <c r="H61" s="24">
        <v>0.77</v>
      </c>
      <c r="I61" s="14">
        <f>IF(AND(H61&lt;=1,H61&gt;0),1,0)</f>
        <v>1</v>
      </c>
      <c r="J61" s="24">
        <v>2446.6</v>
      </c>
      <c r="K61" s="24">
        <v>1285.2</v>
      </c>
      <c r="L61" s="24">
        <v>7.95</v>
      </c>
      <c r="M61" s="24">
        <v>4.66</v>
      </c>
      <c r="N61" s="14">
        <f>IF(AND(J61&gt;K61,L61&gt;=M61),1,0)</f>
        <v>1</v>
      </c>
      <c r="O61" s="15">
        <v>808.7</v>
      </c>
      <c r="P61" s="15">
        <v>744.5</v>
      </c>
      <c r="Q61" s="15">
        <v>619.4</v>
      </c>
      <c r="R61" s="15">
        <v>566.6</v>
      </c>
      <c r="S61" s="15">
        <v>516</v>
      </c>
      <c r="T61" s="15">
        <v>467.3</v>
      </c>
      <c r="U61" s="15">
        <v>242.6</v>
      </c>
      <c r="V61" s="15">
        <v>228.6</v>
      </c>
      <c r="W61" s="14">
        <f>IF(AND(O61&gt;S61,P61&gt;T61,Q61&gt;U61,R61&gt;V61),1,0)</f>
        <v>1</v>
      </c>
      <c r="X61" s="24">
        <v>6386.4</v>
      </c>
      <c r="Y61" s="24">
        <v>9644.5499999999993</v>
      </c>
      <c r="Z61" s="24">
        <v>20.97</v>
      </c>
      <c r="AA61" s="24">
        <v>34.94</v>
      </c>
      <c r="AB61" s="14">
        <f>IF(AND(X61&gt;Y61,Z61&gt;=AA61,X61&gt;0),1,0)</f>
        <v>0</v>
      </c>
      <c r="AC61" s="12" t="str">
        <f>IF(X61&gt;J61,"Yes","No")</f>
        <v>Yes</v>
      </c>
      <c r="AD61" s="14">
        <f>IF(X61&gt;J61,1,0)</f>
        <v>1</v>
      </c>
      <c r="AE61" s="26">
        <v>336312.9</v>
      </c>
      <c r="AF61" s="26">
        <v>19888.8</v>
      </c>
      <c r="AG61" s="17">
        <f>AE61/AF61</f>
        <v>16.909662724749609</v>
      </c>
      <c r="AH61" s="26">
        <v>313498.90000000002</v>
      </c>
      <c r="AI61" s="26">
        <v>17469.2</v>
      </c>
      <c r="AJ61" s="17">
        <f>AH61/AI61</f>
        <v>17.945807478304673</v>
      </c>
      <c r="AK61" s="18">
        <f>IF(AG61&gt;=AJ61,1,0)</f>
        <v>0</v>
      </c>
      <c r="AL61" s="28">
        <v>1.5</v>
      </c>
      <c r="AM61" s="28">
        <v>1.91</v>
      </c>
      <c r="AN61" s="18">
        <f>IF(AL61&lt;=AM61,1,0)</f>
        <v>1</v>
      </c>
      <c r="AO61" s="28">
        <v>7.0000000000000007E-2</v>
      </c>
      <c r="AP61" s="28">
        <v>7.0000000000000007E-2</v>
      </c>
      <c r="AQ61" s="18">
        <f>IF(AO61&gt;AP61,1,0)</f>
        <v>0</v>
      </c>
      <c r="AR61" s="28">
        <v>11.62</v>
      </c>
      <c r="AS61" s="28">
        <v>10.39</v>
      </c>
      <c r="AT61" s="14">
        <f>IF(AR61&gt;=AS61,1,0)</f>
        <v>1</v>
      </c>
      <c r="AU61" s="20">
        <f>SUM(I61,N61,AB61,AD61,AK61,AN61,AQ61,AT61,F61,W61)</f>
        <v>6</v>
      </c>
    </row>
    <row r="62" spans="1:47" customFormat="1" ht="15.6" x14ac:dyDescent="0.3">
      <c r="A62" s="11">
        <v>61</v>
      </c>
      <c r="B62" s="22" t="s">
        <v>107</v>
      </c>
      <c r="C62" s="23">
        <v>67355.759999999995</v>
      </c>
      <c r="D62" s="24">
        <v>45.51</v>
      </c>
      <c r="E62" s="24">
        <v>41.66</v>
      </c>
      <c r="F62" s="14">
        <f>IF(OR(D62&gt;=E62,D62=0),0,1)</f>
        <v>0</v>
      </c>
      <c r="G62" s="24">
        <v>3.89</v>
      </c>
      <c r="H62" s="24">
        <v>0.83</v>
      </c>
      <c r="I62" s="14">
        <f>IF(AND(H62&lt;=1,H62&gt;0),1,0)</f>
        <v>1</v>
      </c>
      <c r="J62" s="24">
        <v>1389.23</v>
      </c>
      <c r="K62" s="24">
        <v>747.06</v>
      </c>
      <c r="L62" s="24">
        <v>24.7</v>
      </c>
      <c r="M62" s="24">
        <v>22.19</v>
      </c>
      <c r="N62" s="14">
        <f>IF(AND(J62&gt;K62,L62&gt;=M62),1,0)</f>
        <v>1</v>
      </c>
      <c r="O62" s="15">
        <v>382</v>
      </c>
      <c r="P62" s="15">
        <v>162.6</v>
      </c>
      <c r="Q62" s="15">
        <v>335.2</v>
      </c>
      <c r="R62" s="15">
        <v>520.1</v>
      </c>
      <c r="S62" s="15">
        <v>471.3</v>
      </c>
      <c r="T62" s="15">
        <v>62.3</v>
      </c>
      <c r="U62" s="15">
        <v>66.8</v>
      </c>
      <c r="V62" s="15">
        <v>124.9</v>
      </c>
      <c r="W62" s="14">
        <f>IF(AND(O62&gt;S62,P62&gt;T62,Q62&gt;U62,R62&gt;V62),1,0)</f>
        <v>0</v>
      </c>
      <c r="X62" s="24">
        <v>-2242.38</v>
      </c>
      <c r="Y62" s="24">
        <v>-692.57</v>
      </c>
      <c r="Z62" s="24">
        <v>-48.55</v>
      </c>
      <c r="AA62" s="24">
        <v>-22.81</v>
      </c>
      <c r="AB62" s="14">
        <f>IF(AND(X62&gt;Y62,Z62&gt;=AA62,X62&gt;0),1,0)</f>
        <v>0</v>
      </c>
      <c r="AC62" s="12" t="str">
        <f>IF(X62&gt;J62,"Yes","No")</f>
        <v>No</v>
      </c>
      <c r="AD62" s="14">
        <f>IF(X62&gt;J62,1,0)</f>
        <v>0</v>
      </c>
      <c r="AE62" s="26">
        <v>51144.4</v>
      </c>
      <c r="AF62" s="26">
        <v>33769.5</v>
      </c>
      <c r="AG62" s="17">
        <f>AE62/AF62</f>
        <v>1.5145145767630555</v>
      </c>
      <c r="AH62" s="26">
        <v>32450.2</v>
      </c>
      <c r="AI62" s="26">
        <v>22731.9</v>
      </c>
      <c r="AJ62" s="17">
        <f>AH62/AI62</f>
        <v>1.427518157303173</v>
      </c>
      <c r="AK62" s="18">
        <f>IF(AG62&gt;=AJ62,1,0)</f>
        <v>1</v>
      </c>
      <c r="AL62" s="28">
        <v>0.23</v>
      </c>
      <c r="AM62" s="28">
        <v>0.27</v>
      </c>
      <c r="AN62" s="18">
        <f>IF(AL62&lt;=AM62,1,0)</f>
        <v>1</v>
      </c>
      <c r="AO62" s="28">
        <v>0.11</v>
      </c>
      <c r="AP62" s="28">
        <v>0.1</v>
      </c>
      <c r="AQ62" s="18">
        <f>IF(AO62&gt;AP62,1,0)</f>
        <v>1</v>
      </c>
      <c r="AR62" s="28">
        <v>0.64</v>
      </c>
      <c r="AS62" s="28">
        <v>-2.99</v>
      </c>
      <c r="AT62" s="14">
        <f>IF(AR62&gt;=AS62,1,0)</f>
        <v>1</v>
      </c>
      <c r="AU62" s="20">
        <f>SUM(I62,N62,AB62,AD62,AK62,AN62,AQ62,AT62,F62,W62)</f>
        <v>6</v>
      </c>
    </row>
    <row r="63" spans="1:47" customFormat="1" ht="15.6" x14ac:dyDescent="0.3">
      <c r="A63" s="11">
        <v>62</v>
      </c>
      <c r="B63" s="22" t="s">
        <v>108</v>
      </c>
      <c r="C63" s="23">
        <v>67298.78</v>
      </c>
      <c r="D63" s="24">
        <v>7.86</v>
      </c>
      <c r="E63" s="24">
        <v>42.91</v>
      </c>
      <c r="F63" s="14">
        <f>IF(OR(D63&gt;=E63,D63=0),0,1)</f>
        <v>1</v>
      </c>
      <c r="G63" s="24">
        <v>1.0900000000000001</v>
      </c>
      <c r="H63" s="24">
        <v>0.2</v>
      </c>
      <c r="I63" s="14">
        <f>IF(AND(H63&lt;=1,H63&gt;0),1,0)</f>
        <v>1</v>
      </c>
      <c r="J63" s="24">
        <v>7431.85</v>
      </c>
      <c r="K63" s="24">
        <v>6685.88</v>
      </c>
      <c r="L63" s="24">
        <v>12.93</v>
      </c>
      <c r="M63" s="24">
        <v>12.37</v>
      </c>
      <c r="N63" s="14">
        <f>IF(AND(J63&gt;K63,L63&gt;=M63),1,0)</f>
        <v>1</v>
      </c>
      <c r="O63" s="15">
        <v>2498.9</v>
      </c>
      <c r="P63" s="15">
        <v>1676.6</v>
      </c>
      <c r="Q63" s="15">
        <v>1855.7</v>
      </c>
      <c r="R63" s="15">
        <v>1400.7</v>
      </c>
      <c r="S63" s="15">
        <v>2580.4</v>
      </c>
      <c r="T63" s="15">
        <v>1438.8</v>
      </c>
      <c r="U63" s="15">
        <v>1689</v>
      </c>
      <c r="V63" s="15">
        <v>977.7</v>
      </c>
      <c r="W63" s="14">
        <f>IF(AND(O63&gt;S63,P63&gt;T63,Q63&gt;U63,R63&gt;V63),1,0)</f>
        <v>0</v>
      </c>
      <c r="X63" s="24">
        <v>1975.99</v>
      </c>
      <c r="Y63" s="24">
        <v>-211.72</v>
      </c>
      <c r="Z63" s="24">
        <v>3.85</v>
      </c>
      <c r="AA63" s="24">
        <v>-0.46</v>
      </c>
      <c r="AB63" s="14">
        <f>IF(AND(X63&gt;Y63,Z63&gt;=AA63,X63&gt;0),1,0)</f>
        <v>1</v>
      </c>
      <c r="AC63" s="12" t="str">
        <f>IF(X63&gt;J63,"Yes","No")</f>
        <v>No</v>
      </c>
      <c r="AD63" s="14">
        <f>IF(X63&gt;J63,1,0)</f>
        <v>0</v>
      </c>
      <c r="AE63" s="27">
        <v>50332</v>
      </c>
      <c r="AF63" s="26">
        <v>105969.8</v>
      </c>
      <c r="AG63" s="17">
        <f>AE63/AF63</f>
        <v>0.47496550904125512</v>
      </c>
      <c r="AH63" s="26">
        <v>47531.6</v>
      </c>
      <c r="AI63" s="26">
        <v>98760.5</v>
      </c>
      <c r="AJ63" s="17">
        <f>AH63/AI63</f>
        <v>0.48128148399410692</v>
      </c>
      <c r="AK63" s="18">
        <f>IF(AG63&gt;=AJ63,1,0)</f>
        <v>0</v>
      </c>
      <c r="AL63" s="28">
        <v>0</v>
      </c>
      <c r="AM63" s="28">
        <v>0</v>
      </c>
      <c r="AN63" s="18">
        <f>IF(AL63&lt;=AM63,1,0)</f>
        <v>1</v>
      </c>
      <c r="AO63" s="28">
        <v>0.26</v>
      </c>
      <c r="AP63" s="28">
        <v>0.26</v>
      </c>
      <c r="AQ63" s="18">
        <f>IF(AO63&gt;AP63,1,0)</f>
        <v>0</v>
      </c>
      <c r="AR63" s="28">
        <v>18.95</v>
      </c>
      <c r="AS63" s="28">
        <v>16.16</v>
      </c>
      <c r="AT63" s="14">
        <f>IF(AR63&gt;=AS63,1,0)</f>
        <v>1</v>
      </c>
      <c r="AU63" s="20">
        <f>SUM(I63,N63,AB63,AD63,AK63,AN63,AQ63,AT63,F63,W63)</f>
        <v>6</v>
      </c>
    </row>
    <row r="64" spans="1:47" customFormat="1" ht="15.6" x14ac:dyDescent="0.3">
      <c r="A64" s="11">
        <v>63</v>
      </c>
      <c r="B64" s="22" t="s">
        <v>109</v>
      </c>
      <c r="C64" s="23">
        <v>61830.559999999998</v>
      </c>
      <c r="D64" s="24">
        <v>27.69</v>
      </c>
      <c r="E64" s="24">
        <v>41.66</v>
      </c>
      <c r="F64" s="14">
        <f>IF(OR(D64&gt;=E64,D64=0),0,1)</f>
        <v>1</v>
      </c>
      <c r="G64" s="24">
        <v>3.69</v>
      </c>
      <c r="H64" s="24">
        <v>0.99</v>
      </c>
      <c r="I64" s="14">
        <f>IF(AND(H64&lt;=1,H64&gt;0),1,0)</f>
        <v>1</v>
      </c>
      <c r="J64" s="24">
        <v>2225.5100000000002</v>
      </c>
      <c r="K64" s="24">
        <v>1926.6</v>
      </c>
      <c r="L64" s="24">
        <v>40.99</v>
      </c>
      <c r="M64" s="24">
        <v>39.090000000000003</v>
      </c>
      <c r="N64" s="14">
        <f>IF(AND(J64&gt;K64,L64&gt;=M64),1,0)</f>
        <v>1</v>
      </c>
      <c r="O64" s="15">
        <v>421.3</v>
      </c>
      <c r="P64" s="15">
        <v>433.2</v>
      </c>
      <c r="Q64" s="15">
        <v>618.4</v>
      </c>
      <c r="R64" s="15">
        <v>589.4</v>
      </c>
      <c r="S64" s="15">
        <v>584.5</v>
      </c>
      <c r="T64" s="15">
        <v>788</v>
      </c>
      <c r="U64" s="15">
        <v>360.2</v>
      </c>
      <c r="V64" s="15">
        <v>456.8</v>
      </c>
      <c r="W64" s="14">
        <f>IF(AND(O64&gt;S64,P64&gt;T64,Q64&gt;U64,R64&gt;V64),1,0)</f>
        <v>0</v>
      </c>
      <c r="X64" s="24">
        <v>2162.58</v>
      </c>
      <c r="Y64" s="24">
        <v>2816.41</v>
      </c>
      <c r="Z64" s="24">
        <v>40.590000000000003</v>
      </c>
      <c r="AA64" s="24">
        <v>62.65</v>
      </c>
      <c r="AB64" s="14">
        <f>IF(AND(X64&gt;Y64,Z64&gt;=AA64,X64&gt;0),1,0)</f>
        <v>0</v>
      </c>
      <c r="AC64" s="12" t="str">
        <f>IF(X64&gt;J64,"Yes","No")</f>
        <v>No</v>
      </c>
      <c r="AD64" s="14">
        <f>IF(X64&gt;J64,1,0)</f>
        <v>0</v>
      </c>
      <c r="AE64" s="26">
        <v>15216.9</v>
      </c>
      <c r="AF64" s="26">
        <v>3507.3</v>
      </c>
      <c r="AG64" s="17">
        <f>AE64/AF64</f>
        <v>4.3386365580360957</v>
      </c>
      <c r="AH64" s="26">
        <v>12745.9</v>
      </c>
      <c r="AI64" s="26">
        <v>3273.3</v>
      </c>
      <c r="AJ64" s="17">
        <f>AH64/AI64</f>
        <v>3.8938991232089935</v>
      </c>
      <c r="AK64" s="18">
        <f>IF(AG64&gt;=AJ64,1,0)</f>
        <v>1</v>
      </c>
      <c r="AL64" s="28">
        <v>0.18</v>
      </c>
      <c r="AM64" s="28">
        <v>0.16</v>
      </c>
      <c r="AN64" s="18">
        <f>IF(AL64&lt;=AM64,1,0)</f>
        <v>0</v>
      </c>
      <c r="AO64" s="28">
        <v>0.25</v>
      </c>
      <c r="AP64" s="28">
        <v>0.23</v>
      </c>
      <c r="AQ64" s="18">
        <f>IF(AO64&gt;AP64,1,0)</f>
        <v>1</v>
      </c>
      <c r="AR64" s="28">
        <v>56.69</v>
      </c>
      <c r="AS64" s="28">
        <v>50.01</v>
      </c>
      <c r="AT64" s="14">
        <f>IF(AR64&gt;=AS64,1,0)</f>
        <v>1</v>
      </c>
      <c r="AU64" s="20">
        <f>SUM(I64,N64,AB64,AD64,AK64,AN64,AQ64,AT64,F64,W64)</f>
        <v>6</v>
      </c>
    </row>
    <row r="65" spans="1:47" customFormat="1" ht="15.6" x14ac:dyDescent="0.3">
      <c r="A65" s="11">
        <v>64</v>
      </c>
      <c r="B65" s="22" t="s">
        <v>110</v>
      </c>
      <c r="C65" s="23">
        <v>59359.48</v>
      </c>
      <c r="D65" s="24">
        <v>57.89</v>
      </c>
      <c r="E65" s="24">
        <v>29.34</v>
      </c>
      <c r="F65" s="14">
        <f>IF(OR(D65&gt;=E65,D65=0),0,1)</f>
        <v>0</v>
      </c>
      <c r="G65" s="24">
        <v>6.41</v>
      </c>
      <c r="H65" s="24">
        <v>73.28</v>
      </c>
      <c r="I65" s="14">
        <f>IF(AND(H65&lt;=1,H65&gt;0),1,0)</f>
        <v>0</v>
      </c>
      <c r="J65" s="24">
        <v>913.27</v>
      </c>
      <c r="K65" s="24">
        <v>910.16</v>
      </c>
      <c r="L65" s="24">
        <v>6.11</v>
      </c>
      <c r="M65" s="24">
        <v>5.62</v>
      </c>
      <c r="N65" s="14">
        <f>IF(AND(J65&gt;K65,L65&gt;=M65),1,0)</f>
        <v>1</v>
      </c>
      <c r="O65" s="15">
        <v>282</v>
      </c>
      <c r="P65" s="15">
        <v>212.8</v>
      </c>
      <c r="Q65" s="15">
        <v>243.6</v>
      </c>
      <c r="R65" s="15">
        <v>202.8</v>
      </c>
      <c r="S65" s="15">
        <v>236</v>
      </c>
      <c r="T65" s="15">
        <v>264.60000000000002</v>
      </c>
      <c r="U65" s="15">
        <v>227.2</v>
      </c>
      <c r="V65" s="15">
        <v>223.4</v>
      </c>
      <c r="W65" s="14">
        <f>IF(AND(O65&gt;S65,P65&gt;T65,Q65&gt;U65,R65&gt;V65),1,0)</f>
        <v>0</v>
      </c>
      <c r="X65" s="24">
        <v>1796.34</v>
      </c>
      <c r="Y65" s="24">
        <v>1664.4</v>
      </c>
      <c r="Z65" s="24">
        <v>12.04</v>
      </c>
      <c r="AA65" s="24">
        <v>10.61</v>
      </c>
      <c r="AB65" s="14">
        <f>IF(AND(X65&gt;Y65,Z65&gt;=AA65,X65&gt;0),1,0)</f>
        <v>1</v>
      </c>
      <c r="AC65" s="12" t="str">
        <f>IF(X65&gt;J65,"Yes","No")</f>
        <v>Yes</v>
      </c>
      <c r="AD65" s="14">
        <f>IF(X65&gt;J65,1,0)</f>
        <v>1</v>
      </c>
      <c r="AE65" s="26">
        <v>10232.299999999999</v>
      </c>
      <c r="AF65" s="27">
        <v>8703</v>
      </c>
      <c r="AG65" s="17">
        <f>AE65/AF65</f>
        <v>1.1757210157416982</v>
      </c>
      <c r="AH65" s="26">
        <v>10015.5</v>
      </c>
      <c r="AI65" s="26">
        <v>9280.1</v>
      </c>
      <c r="AJ65" s="17">
        <f>AH65/AI65</f>
        <v>1.079244835723753</v>
      </c>
      <c r="AK65" s="18">
        <f>IF(AG65&gt;=AJ65,1,0)</f>
        <v>1</v>
      </c>
      <c r="AL65" s="28">
        <v>0.14000000000000001</v>
      </c>
      <c r="AM65" s="28">
        <v>0.26</v>
      </c>
      <c r="AN65" s="18">
        <f>IF(AL65&lt;=AM65,1,0)</f>
        <v>1</v>
      </c>
      <c r="AO65" s="28">
        <v>0.77</v>
      </c>
      <c r="AP65" s="28">
        <v>0.83</v>
      </c>
      <c r="AQ65" s="18">
        <f>IF(AO65&gt;AP65,1,0)</f>
        <v>0</v>
      </c>
      <c r="AR65" s="28">
        <v>17.57</v>
      </c>
      <c r="AS65" s="28">
        <v>16.079999999999998</v>
      </c>
      <c r="AT65" s="14">
        <f>IF(AR65&gt;=AS65,1,0)</f>
        <v>1</v>
      </c>
      <c r="AU65" s="20">
        <f>SUM(I65,N65,AB65,AD65,AK65,AN65,AQ65,AT65,F65,W65)</f>
        <v>6</v>
      </c>
    </row>
    <row r="66" spans="1:47" customFormat="1" ht="15.6" x14ac:dyDescent="0.3">
      <c r="A66" s="11">
        <v>65</v>
      </c>
      <c r="B66" s="22" t="s">
        <v>111</v>
      </c>
      <c r="C66" s="23">
        <v>59125.58</v>
      </c>
      <c r="D66" s="24">
        <v>27.2</v>
      </c>
      <c r="E66" s="24">
        <v>20.69</v>
      </c>
      <c r="F66" s="14">
        <f>IF(OR(D66&gt;=E66,D66=0),0,1)</f>
        <v>0</v>
      </c>
      <c r="G66" s="24">
        <v>3.26</v>
      </c>
      <c r="H66" s="24">
        <v>1.18</v>
      </c>
      <c r="I66" s="14">
        <f>IF(AND(H66&lt;=1,H66&gt;0),1,0)</f>
        <v>0</v>
      </c>
      <c r="J66" s="24">
        <v>2105.9299999999998</v>
      </c>
      <c r="K66" s="24">
        <v>1534.72</v>
      </c>
      <c r="L66" s="24">
        <v>13.13</v>
      </c>
      <c r="M66" s="24">
        <v>14.55</v>
      </c>
      <c r="N66" s="14">
        <f>IF(AND(J66&gt;K66,L66&gt;=M66),1,0)</f>
        <v>0</v>
      </c>
      <c r="O66" s="15">
        <v>580.9</v>
      </c>
      <c r="P66" s="15">
        <v>503.7</v>
      </c>
      <c r="Q66" s="15">
        <v>528.5</v>
      </c>
      <c r="R66" s="15">
        <v>571.20000000000005</v>
      </c>
      <c r="S66" s="15">
        <v>502.6</v>
      </c>
      <c r="T66" s="15">
        <v>370.7</v>
      </c>
      <c r="U66" s="15">
        <v>375.3</v>
      </c>
      <c r="V66" s="15">
        <v>401.8</v>
      </c>
      <c r="W66" s="14">
        <f>IF(AND(O66&gt;S66,P66&gt;T66,Q66&gt;U66,R66&gt;V66),1,0)</f>
        <v>1</v>
      </c>
      <c r="X66" s="24">
        <v>5462.41</v>
      </c>
      <c r="Y66" s="24">
        <v>2608.0700000000002</v>
      </c>
      <c r="Z66" s="24">
        <v>31.62</v>
      </c>
      <c r="AA66" s="24">
        <v>24.71</v>
      </c>
      <c r="AB66" s="14">
        <f>IF(AND(X66&gt;Y66,Z66&gt;=AA66,X66&gt;0),1,0)</f>
        <v>1</v>
      </c>
      <c r="AC66" s="12" t="str">
        <f>IF(X66&gt;J66,"Yes","No")</f>
        <v>Yes</v>
      </c>
      <c r="AD66" s="14">
        <f>IF(X66&gt;J66,1,0)</f>
        <v>1</v>
      </c>
      <c r="AE66" s="26">
        <v>119085.7</v>
      </c>
      <c r="AF66" s="26">
        <v>4750.8999999999996</v>
      </c>
      <c r="AG66" s="17">
        <f>AE66/AF66</f>
        <v>25.065924351175568</v>
      </c>
      <c r="AH66" s="26">
        <v>81440.7</v>
      </c>
      <c r="AI66" s="26">
        <v>4204.7</v>
      </c>
      <c r="AJ66" s="17">
        <f>AH66/AI66</f>
        <v>19.368968059552405</v>
      </c>
      <c r="AK66" s="18">
        <f>IF(AG66&gt;=AJ66,1,0)</f>
        <v>1</v>
      </c>
      <c r="AL66" s="28">
        <v>0.68</v>
      </c>
      <c r="AM66" s="28">
        <v>0.44</v>
      </c>
      <c r="AN66" s="18">
        <f>IF(AL66&lt;=AM66,1,0)</f>
        <v>0</v>
      </c>
      <c r="AO66" s="28">
        <v>0.12</v>
      </c>
      <c r="AP66" s="28">
        <v>0.11</v>
      </c>
      <c r="AQ66" s="18">
        <f>IF(AO66&gt;AP66,1,0)</f>
        <v>1</v>
      </c>
      <c r="AR66" s="28">
        <v>24.64</v>
      </c>
      <c r="AS66" s="28">
        <v>19.82</v>
      </c>
      <c r="AT66" s="14">
        <f>IF(AR66&gt;=AS66,1,0)</f>
        <v>1</v>
      </c>
      <c r="AU66" s="20">
        <f>SUM(I66,N66,AB66,AD66,AK66,AN66,AQ66,AT66,F66,W66)</f>
        <v>6</v>
      </c>
    </row>
    <row r="67" spans="1:47" customFormat="1" ht="15.6" x14ac:dyDescent="0.3">
      <c r="A67" s="11">
        <v>66</v>
      </c>
      <c r="B67" s="22" t="s">
        <v>112</v>
      </c>
      <c r="C67" s="23">
        <v>56851.96</v>
      </c>
      <c r="D67" s="24">
        <v>39.26</v>
      </c>
      <c r="E67" s="24">
        <v>29.72</v>
      </c>
      <c r="F67" s="14">
        <f>IF(OR(D67&gt;=E67,D67=0),0,1)</f>
        <v>0</v>
      </c>
      <c r="G67" s="24">
        <v>1.95</v>
      </c>
      <c r="H67" s="24">
        <v>-1.02</v>
      </c>
      <c r="I67" s="14">
        <f>IF(AND(H67&lt;=1,H67&gt;0),1,0)</f>
        <v>0</v>
      </c>
      <c r="J67" s="24">
        <v>820</v>
      </c>
      <c r="K67" s="24">
        <v>-1878</v>
      </c>
      <c r="L67" s="24">
        <v>1.74</v>
      </c>
      <c r="M67" s="24">
        <v>-4.0199999999999996</v>
      </c>
      <c r="N67" s="14">
        <f>IF(AND(J67&gt;K67,L67&gt;=M67),1,0)</f>
        <v>1</v>
      </c>
      <c r="O67" s="15">
        <v>896</v>
      </c>
      <c r="P67" s="15">
        <v>828</v>
      </c>
      <c r="Q67" s="15">
        <v>-443</v>
      </c>
      <c r="R67" s="15">
        <v>-384</v>
      </c>
      <c r="S67" s="15">
        <v>40</v>
      </c>
      <c r="T67" s="15">
        <v>-1217</v>
      </c>
      <c r="U67" s="15">
        <v>-189</v>
      </c>
      <c r="V67" s="15">
        <v>166</v>
      </c>
      <c r="W67" s="14">
        <f>IF(AND(O67&gt;S67,P67&gt;T67,Q67&gt;U67,R67&gt;V67),1,0)</f>
        <v>0</v>
      </c>
      <c r="X67" s="24">
        <v>10151</v>
      </c>
      <c r="Y67" s="24">
        <v>2321</v>
      </c>
      <c r="Z67" s="24">
        <v>21.7</v>
      </c>
      <c r="AA67" s="24">
        <v>5.39</v>
      </c>
      <c r="AB67" s="14">
        <f>IF(AND(X67&gt;Y67,Z67&gt;=AA67,X67&gt;0),1,0)</f>
        <v>1</v>
      </c>
      <c r="AC67" s="12" t="str">
        <f>IF(X67&gt;J67,"Yes","No")</f>
        <v>Yes</v>
      </c>
      <c r="AD67" s="14">
        <f>IF(X67&gt;J67,1,0)</f>
        <v>1</v>
      </c>
      <c r="AE67" s="27">
        <v>39661</v>
      </c>
      <c r="AF67" s="27">
        <v>28569</v>
      </c>
      <c r="AG67" s="17">
        <f>AE67/AF67</f>
        <v>1.388253001505128</v>
      </c>
      <c r="AH67" s="27">
        <v>39328</v>
      </c>
      <c r="AI67" s="27">
        <v>26861</v>
      </c>
      <c r="AJ67" s="17">
        <f>AH67/AI67</f>
        <v>1.4641301515207923</v>
      </c>
      <c r="AK67" s="18">
        <f>IF(AG67&gt;=AJ67,1,0)</f>
        <v>0</v>
      </c>
      <c r="AL67" s="28">
        <v>0.63</v>
      </c>
      <c r="AM67" s="28">
        <v>0.97</v>
      </c>
      <c r="AN67" s="18">
        <f>IF(AL67&lt;=AM67,1,0)</f>
        <v>1</v>
      </c>
      <c r="AO67" s="28">
        <v>0.53</v>
      </c>
      <c r="AP67" s="28">
        <v>0.49</v>
      </c>
      <c r="AQ67" s="18">
        <f>IF(AO67&gt;AP67,1,0)</f>
        <v>1</v>
      </c>
      <c r="AR67" s="28">
        <v>16.13</v>
      </c>
      <c r="AS67" s="28">
        <v>10.42</v>
      </c>
      <c r="AT67" s="14">
        <f>IF(AR67&gt;=AS67,1,0)</f>
        <v>1</v>
      </c>
      <c r="AU67" s="20">
        <f>SUM(I67,N67,AB67,AD67,AK67,AN67,AQ67,AT67,F67,W67)</f>
        <v>6</v>
      </c>
    </row>
    <row r="68" spans="1:47" customFormat="1" ht="15.6" x14ac:dyDescent="0.3">
      <c r="A68" s="11">
        <v>67</v>
      </c>
      <c r="B68" s="22" t="s">
        <v>113</v>
      </c>
      <c r="C68" s="23">
        <v>56047.89</v>
      </c>
      <c r="D68" s="24">
        <v>5.59</v>
      </c>
      <c r="E68" s="24">
        <v>7.53</v>
      </c>
      <c r="F68" s="14">
        <f>IF(OR(D68&gt;=E68,D68=0),0,1)</f>
        <v>1</v>
      </c>
      <c r="G68" s="24">
        <v>0.67</v>
      </c>
      <c r="H68" s="24">
        <v>0.13</v>
      </c>
      <c r="I68" s="14">
        <f>IF(AND(H68&lt;=1,H68&gt;0),1,0)</f>
        <v>1</v>
      </c>
      <c r="J68" s="24">
        <v>9552.17</v>
      </c>
      <c r="K68" s="24">
        <v>6566.57</v>
      </c>
      <c r="L68" s="24">
        <v>13.11</v>
      </c>
      <c r="M68" s="24">
        <v>10.71</v>
      </c>
      <c r="N68" s="14">
        <f>IF(AND(J68&gt;K68,L68&gt;=M68),1,0)</f>
        <v>1</v>
      </c>
      <c r="O68" s="15">
        <v>1829.6</v>
      </c>
      <c r="P68" s="15">
        <v>2602</v>
      </c>
      <c r="Q68" s="15">
        <v>2636.7</v>
      </c>
      <c r="R68" s="15">
        <v>2421.3000000000002</v>
      </c>
      <c r="S68" s="15">
        <v>1888.3</v>
      </c>
      <c r="T68" s="15">
        <v>1573.9</v>
      </c>
      <c r="U68" s="15">
        <v>1930.5</v>
      </c>
      <c r="V68" s="15">
        <v>1498.6</v>
      </c>
      <c r="W68" s="14">
        <f>IF(AND(O68&gt;S68,P68&gt;T68,Q68&gt;U68,R68&gt;V68),1,0)</f>
        <v>0</v>
      </c>
      <c r="X68" s="24">
        <v>18534.45</v>
      </c>
      <c r="Y68" s="24">
        <v>-4436.9399999999996</v>
      </c>
      <c r="Z68" s="24">
        <v>25.12</v>
      </c>
      <c r="AA68" s="24">
        <v>-7.26</v>
      </c>
      <c r="AB68" s="14">
        <f>IF(AND(X68&gt;Y68,Z68&gt;=AA68,X68&gt;0),1,0)</f>
        <v>1</v>
      </c>
      <c r="AC68" s="12" t="str">
        <f>IF(X68&gt;J68,"Yes","No")</f>
        <v>Yes</v>
      </c>
      <c r="AD68" s="14">
        <f>IF(X68&gt;J68,1,0)</f>
        <v>1</v>
      </c>
      <c r="AE68" s="26">
        <v>776375.8</v>
      </c>
      <c r="AF68" s="26">
        <v>31862.3</v>
      </c>
      <c r="AG68" s="17">
        <f>AE68/AF68</f>
        <v>24.366596259529288</v>
      </c>
      <c r="AH68" s="26">
        <v>679360.8</v>
      </c>
      <c r="AI68" s="26">
        <v>31966.6</v>
      </c>
      <c r="AJ68" s="17">
        <f>AH68/AI68</f>
        <v>21.252206991046908</v>
      </c>
      <c r="AK68" s="18">
        <f>IF(AG68&gt;=AJ68,1,0)</f>
        <v>1</v>
      </c>
      <c r="AL68" s="28">
        <v>1.71</v>
      </c>
      <c r="AM68" s="28">
        <v>1.27</v>
      </c>
      <c r="AN68" s="18">
        <f>IF(AL68&lt;=AM68,1,0)</f>
        <v>0</v>
      </c>
      <c r="AO68" s="28">
        <v>7.0000000000000007E-2</v>
      </c>
      <c r="AP68" s="28">
        <v>7.0000000000000007E-2</v>
      </c>
      <c r="AQ68" s="18">
        <f>IF(AO68&gt;AP68,1,0)</f>
        <v>0</v>
      </c>
      <c r="AR68" s="28">
        <v>20.65</v>
      </c>
      <c r="AS68" s="28">
        <v>21.16</v>
      </c>
      <c r="AT68" s="14">
        <f>IF(AR68&gt;=AS68,1,0)</f>
        <v>0</v>
      </c>
      <c r="AU68" s="20">
        <f>SUM(I68,N68,AB68,AD68,AK68,AN68,AQ68,AT68,F68,W68)</f>
        <v>6</v>
      </c>
    </row>
    <row r="69" spans="1:47" customFormat="1" ht="15.6" x14ac:dyDescent="0.3">
      <c r="A69" s="11">
        <v>68</v>
      </c>
      <c r="B69" s="22" t="s">
        <v>114</v>
      </c>
      <c r="C69" s="23">
        <v>53409.96</v>
      </c>
      <c r="D69" s="24">
        <v>196.56</v>
      </c>
      <c r="E69" s="24">
        <v>79.63</v>
      </c>
      <c r="F69" s="14">
        <f>IF(OR(D69&gt;=E69,D69=0),0,1)</f>
        <v>0</v>
      </c>
      <c r="G69" s="24">
        <v>10.130000000000001</v>
      </c>
      <c r="H69" s="24">
        <v>20.87</v>
      </c>
      <c r="I69" s="14">
        <f>IF(AND(H69&lt;=1,H69&gt;0),1,0)</f>
        <v>0</v>
      </c>
      <c r="J69" s="24">
        <v>403.4</v>
      </c>
      <c r="K69" s="24">
        <v>392.61</v>
      </c>
      <c r="L69" s="24">
        <v>0.88</v>
      </c>
      <c r="M69" s="24">
        <v>0.85</v>
      </c>
      <c r="N69" s="14">
        <f>IF(AND(J69&gt;K69,L69&gt;=M69),1,0)</f>
        <v>1</v>
      </c>
      <c r="O69" s="15">
        <v>31.3</v>
      </c>
      <c r="P69" s="15">
        <v>56</v>
      </c>
      <c r="Q69" s="15">
        <v>112.6</v>
      </c>
      <c r="R69" s="15">
        <v>127.3</v>
      </c>
      <c r="S69" s="15">
        <v>-44</v>
      </c>
      <c r="T69" s="15">
        <v>148.6</v>
      </c>
      <c r="U69" s="15">
        <v>147.9</v>
      </c>
      <c r="V69" s="15">
        <v>87.7</v>
      </c>
      <c r="W69" s="14">
        <f>IF(AND(O69&gt;S69,P69&gt;T69,Q69&gt;U69,R69&gt;V69),1,0)</f>
        <v>0</v>
      </c>
      <c r="X69" s="24">
        <v>8351.7999999999993</v>
      </c>
      <c r="Y69" s="24">
        <v>6104.36</v>
      </c>
      <c r="Z69" s="24">
        <v>17.59</v>
      </c>
      <c r="AA69" s="24">
        <v>13.11</v>
      </c>
      <c r="AB69" s="14">
        <f>IF(AND(X69&gt;Y69,Z69&gt;=AA69,X69&gt;0),1,0)</f>
        <v>1</v>
      </c>
      <c r="AC69" s="12" t="str">
        <f>IF(X69&gt;J69,"Yes","No")</f>
        <v>Yes</v>
      </c>
      <c r="AD69" s="14">
        <f>IF(X69&gt;J69,1,0)</f>
        <v>1</v>
      </c>
      <c r="AE69" s="26">
        <v>187609.60000000001</v>
      </c>
      <c r="AF69" s="26">
        <v>182399.2</v>
      </c>
      <c r="AG69" s="17">
        <f>AE69/AF69</f>
        <v>1.0285659147627839</v>
      </c>
      <c r="AH69" s="26">
        <v>160437.20000000001</v>
      </c>
      <c r="AI69" s="26">
        <v>156995.79999999999</v>
      </c>
      <c r="AJ69" s="17">
        <f>AH69/AI69</f>
        <v>1.021920331626706</v>
      </c>
      <c r="AK69" s="18">
        <f>IF(AG69&gt;=AJ69,1,0)</f>
        <v>1</v>
      </c>
      <c r="AL69" s="28">
        <v>0</v>
      </c>
      <c r="AM69" s="28">
        <v>0.13</v>
      </c>
      <c r="AN69" s="18">
        <f>IF(AL69&lt;=AM69,1,0)</f>
        <v>1</v>
      </c>
      <c r="AO69" s="28">
        <v>0.26</v>
      </c>
      <c r="AP69" s="28">
        <v>0.32</v>
      </c>
      <c r="AQ69" s="18">
        <f>IF(AO69&gt;AP69,1,0)</f>
        <v>0</v>
      </c>
      <c r="AR69" s="28">
        <v>1.02</v>
      </c>
      <c r="AS69" s="28">
        <v>0.9</v>
      </c>
      <c r="AT69" s="14">
        <f>IF(AR69&gt;=AS69,1,0)</f>
        <v>1</v>
      </c>
      <c r="AU69" s="20">
        <f>SUM(I69,N69,AB69,AD69,AK69,AN69,AQ69,AT69,F69,W69)</f>
        <v>6</v>
      </c>
    </row>
    <row r="70" spans="1:47" customFormat="1" ht="15.6" x14ac:dyDescent="0.3">
      <c r="A70" s="11">
        <v>69</v>
      </c>
      <c r="B70" s="22" t="s">
        <v>140</v>
      </c>
      <c r="C70" s="23">
        <v>66596.41</v>
      </c>
      <c r="D70" s="24">
        <v>24.68</v>
      </c>
      <c r="E70" s="24">
        <v>22.82</v>
      </c>
      <c r="F70" s="14">
        <f>IF(OR(D70&gt;=E70,D70=0),0,1)</f>
        <v>0</v>
      </c>
      <c r="G70" s="24">
        <v>2.5299999999999998</v>
      </c>
      <c r="H70" s="24">
        <v>0.55000000000000004</v>
      </c>
      <c r="I70" s="14">
        <f>IF(AND(H70&lt;=1,H70&gt;0),1,0)</f>
        <v>1</v>
      </c>
      <c r="J70" s="24">
        <v>2643.42</v>
      </c>
      <c r="K70" s="24">
        <v>2317.13</v>
      </c>
      <c r="L70" s="24">
        <v>16.600000000000001</v>
      </c>
      <c r="M70" s="24">
        <v>16.260000000000002</v>
      </c>
      <c r="N70" s="14">
        <f>IF(AND(J70&gt;K70,L70&gt;=M70),1,0)</f>
        <v>1</v>
      </c>
      <c r="O70" s="15">
        <v>701.1</v>
      </c>
      <c r="P70" s="15">
        <v>636.20000000000005</v>
      </c>
      <c r="Q70" s="15">
        <v>626.4</v>
      </c>
      <c r="R70" s="15">
        <v>695.6</v>
      </c>
      <c r="S70" s="15">
        <v>685.5</v>
      </c>
      <c r="T70" s="15">
        <v>553.9</v>
      </c>
      <c r="U70" s="15">
        <v>640.20000000000005</v>
      </c>
      <c r="V70" s="15">
        <v>595.1</v>
      </c>
      <c r="W70" s="14">
        <f>IF(AND(O70&gt;S70,P70&gt;T70,Q70&gt;U70,R70&gt;V70),1,0)</f>
        <v>0</v>
      </c>
      <c r="X70" s="24">
        <v>-16586.5</v>
      </c>
      <c r="Y70" s="24">
        <v>685.64</v>
      </c>
      <c r="Z70" s="24">
        <v>-99.23</v>
      </c>
      <c r="AA70" s="24">
        <v>4.8099999999999996</v>
      </c>
      <c r="AB70" s="14">
        <f>IF(AND(X70&gt;Y70,Z70&gt;=AA70,X70&gt;0),1,0)</f>
        <v>0</v>
      </c>
      <c r="AC70" s="12" t="str">
        <f>IF(X70&gt;J70,"Yes","No")</f>
        <v>No</v>
      </c>
      <c r="AD70" s="14">
        <f>IF(X70&gt;J70,1,0)</f>
        <v>0</v>
      </c>
      <c r="AE70" s="26">
        <v>116992.9</v>
      </c>
      <c r="AF70" s="26">
        <v>92365.6</v>
      </c>
      <c r="AG70" s="17">
        <f>AE70/AF70</f>
        <v>1.2666284850637033</v>
      </c>
      <c r="AH70" s="26">
        <v>99488.5</v>
      </c>
      <c r="AI70" s="26">
        <v>78878.7</v>
      </c>
      <c r="AJ70" s="17">
        <f>AH70/AI70</f>
        <v>1.2612847321266705</v>
      </c>
      <c r="AK70" s="18">
        <f>IF(AG70&gt;=AJ70,1,0)</f>
        <v>1</v>
      </c>
      <c r="AL70" s="28">
        <v>0</v>
      </c>
      <c r="AM70" s="28">
        <v>0</v>
      </c>
      <c r="AN70" s="18">
        <f>IF(AL70&lt;=AM70,1,0)</f>
        <v>1</v>
      </c>
      <c r="AO70" s="28">
        <v>0.14000000000000001</v>
      </c>
      <c r="AP70" s="28">
        <v>0.13</v>
      </c>
      <c r="AQ70" s="18">
        <f>IF(AO70&gt;AP70,1,0)</f>
        <v>1</v>
      </c>
      <c r="AR70" s="28">
        <v>60.29</v>
      </c>
      <c r="AS70" s="28">
        <v>57.25</v>
      </c>
      <c r="AT70" s="14">
        <f>IF(AR70&gt;=AS70,1,0)</f>
        <v>1</v>
      </c>
      <c r="AU70" s="20">
        <f>SUM(I70,N70,AB70,AD70,AK70,AN70,AQ70,AT70,F70,W70)</f>
        <v>6</v>
      </c>
    </row>
    <row r="71" spans="1:47" customFormat="1" ht="15.6" x14ac:dyDescent="0.3">
      <c r="A71" s="11">
        <v>70</v>
      </c>
      <c r="B71" s="12" t="s">
        <v>115</v>
      </c>
      <c r="C71" s="13">
        <v>1071749.8799999999</v>
      </c>
      <c r="D71" s="12">
        <v>21.31</v>
      </c>
      <c r="E71" s="12">
        <v>29.47</v>
      </c>
      <c r="F71" s="14">
        <f>IF(OR(D71&gt;=E71,D71=0),0,1)</f>
        <v>1</v>
      </c>
      <c r="G71" s="12">
        <v>10.07</v>
      </c>
      <c r="H71" s="12">
        <v>2.6</v>
      </c>
      <c r="I71" s="14">
        <f>IF(AND(H71&lt;=1,H71&gt;0),1,0)</f>
        <v>0</v>
      </c>
      <c r="J71" s="12">
        <v>48797</v>
      </c>
      <c r="K71" s="12">
        <v>46099</v>
      </c>
      <c r="L71" s="12">
        <v>19.100000000000001</v>
      </c>
      <c r="M71" s="12">
        <v>19.420000000000002</v>
      </c>
      <c r="N71" s="14">
        <f>IF(AND(J71&gt;K71,L71&gt;=M71),1,0)</f>
        <v>0</v>
      </c>
      <c r="O71" s="15">
        <v>12760</v>
      </c>
      <c r="P71" s="15">
        <v>12224</v>
      </c>
      <c r="Q71" s="15">
        <v>12380</v>
      </c>
      <c r="R71" s="15">
        <v>11909</v>
      </c>
      <c r="S71" s="15">
        <v>12040</v>
      </c>
      <c r="T71" s="15">
        <v>12434</v>
      </c>
      <c r="U71" s="15">
        <v>11058</v>
      </c>
      <c r="V71" s="15">
        <v>11342</v>
      </c>
      <c r="W71" s="14">
        <f>IF(AND(O71&gt;S71,P71&gt;T71,Q71&gt;U71,R71&gt;V71),1,0)</f>
        <v>0</v>
      </c>
      <c r="X71" s="12">
        <v>48908</v>
      </c>
      <c r="Y71" s="12">
        <v>44338</v>
      </c>
      <c r="Z71" s="12">
        <v>18.98</v>
      </c>
      <c r="AA71" s="12">
        <v>18.41</v>
      </c>
      <c r="AB71" s="14">
        <f>IF(AND(X71&gt;Y71,Z71&gt;=AA71,X71&gt;0),1,0)</f>
        <v>1</v>
      </c>
      <c r="AC71" s="12" t="str">
        <f>IF(X71&gt;J71,"Yes","No")</f>
        <v>Yes</v>
      </c>
      <c r="AD71" s="14">
        <f>IF(X71&gt;J71,1,0)</f>
        <v>1</v>
      </c>
      <c r="AE71" s="25">
        <v>123012</v>
      </c>
      <c r="AF71" s="25">
        <v>53001</v>
      </c>
      <c r="AG71" s="17">
        <f>AE71/AF71</f>
        <v>2.3209373408048903</v>
      </c>
      <c r="AH71" s="25">
        <v>112984</v>
      </c>
      <c r="AI71" s="25">
        <v>46104</v>
      </c>
      <c r="AJ71" s="17">
        <f>AH71/AI71</f>
        <v>2.4506333506854068</v>
      </c>
      <c r="AK71" s="18">
        <f>IF(AG71&gt;=AJ71,1,0)</f>
        <v>0</v>
      </c>
      <c r="AL71" s="19">
        <v>0</v>
      </c>
      <c r="AM71" s="19">
        <v>0</v>
      </c>
      <c r="AN71" s="18">
        <f>IF(AL71&lt;=AM71,1,0)</f>
        <v>1</v>
      </c>
      <c r="AO71" s="19">
        <v>1.67</v>
      </c>
      <c r="AP71" s="19">
        <v>1.66</v>
      </c>
      <c r="AQ71" s="18">
        <f>IF(AO71&gt;AP71,1,0)</f>
        <v>1</v>
      </c>
      <c r="AR71" s="19">
        <v>26</v>
      </c>
      <c r="AS71" s="19">
        <v>26.21</v>
      </c>
      <c r="AT71" s="14">
        <f>IF(AR71&gt;=AS71,1,0)</f>
        <v>0</v>
      </c>
      <c r="AU71" s="20">
        <f>SUM(I71,N71,AB71,AD71,AK71,AN71,AQ71,AT71,F71,W71)</f>
        <v>5</v>
      </c>
    </row>
    <row r="72" spans="1:47" customFormat="1" ht="15.6" x14ac:dyDescent="0.3">
      <c r="A72" s="11">
        <v>71</v>
      </c>
      <c r="B72" s="12" t="s">
        <v>116</v>
      </c>
      <c r="C72" s="13">
        <v>598690.78</v>
      </c>
      <c r="D72" s="12">
        <v>21.29</v>
      </c>
      <c r="E72" s="12">
        <v>29.47</v>
      </c>
      <c r="F72" s="14">
        <f>IF(OR(D72&gt;=E72,D72=0),0,1)</f>
        <v>1</v>
      </c>
      <c r="G72" s="12">
        <v>5.79</v>
      </c>
      <c r="H72" s="12">
        <v>3.3</v>
      </c>
      <c r="I72" s="14">
        <f>IF(AND(H72&lt;=1,H72&gt;0),1,0)</f>
        <v>0</v>
      </c>
      <c r="J72" s="12">
        <v>26750</v>
      </c>
      <c r="K72" s="12">
        <v>26248</v>
      </c>
      <c r="L72" s="12">
        <v>16.29</v>
      </c>
      <c r="M72" s="12">
        <v>16.95</v>
      </c>
      <c r="N72" s="14">
        <f>IF(AND(J72&gt;K72,L72&gt;=M72),1,0)</f>
        <v>0</v>
      </c>
      <c r="O72" s="15">
        <v>6921</v>
      </c>
      <c r="P72" s="15">
        <v>7033</v>
      </c>
      <c r="Q72" s="15">
        <v>6806</v>
      </c>
      <c r="R72" s="15">
        <v>6506</v>
      </c>
      <c r="S72" s="15">
        <v>6368</v>
      </c>
      <c r="T72" s="15">
        <v>7969</v>
      </c>
      <c r="U72" s="15">
        <v>6106</v>
      </c>
      <c r="V72" s="15">
        <v>6212</v>
      </c>
      <c r="W72" s="14">
        <f>IF(AND(O72&gt;S72,P72&gt;T72,Q72&gt;U72,R72&gt;V72),1,0)</f>
        <v>0</v>
      </c>
      <c r="X72" s="12">
        <v>35694</v>
      </c>
      <c r="Y72" s="12">
        <v>25210</v>
      </c>
      <c r="Z72" s="12">
        <v>21.06</v>
      </c>
      <c r="AA72" s="12">
        <v>16.41</v>
      </c>
      <c r="AB72" s="14">
        <f>IF(AND(X72&gt;Y72,Z72&gt;=AA72,X72&gt;0),1,0)</f>
        <v>1</v>
      </c>
      <c r="AC72" s="12" t="str">
        <f>IF(X72&gt;J72,"Yes","No")</f>
        <v>Yes</v>
      </c>
      <c r="AD72" s="14">
        <f>IF(X72&gt;J72,1,0)</f>
        <v>1</v>
      </c>
      <c r="AE72" s="25">
        <v>97099</v>
      </c>
      <c r="AF72" s="25">
        <v>42850</v>
      </c>
      <c r="AG72" s="17">
        <f>AE72/AF72</f>
        <v>2.2660210035005832</v>
      </c>
      <c r="AH72" s="25">
        <v>89432</v>
      </c>
      <c r="AI72" s="25">
        <v>38794</v>
      </c>
      <c r="AJ72" s="17">
        <f>AH72/AI72</f>
        <v>2.3053049440635149</v>
      </c>
      <c r="AK72" s="18">
        <f>IF(AG72&gt;=AJ72,1,0)</f>
        <v>0</v>
      </c>
      <c r="AL72" s="19">
        <v>0</v>
      </c>
      <c r="AM72" s="19">
        <v>0</v>
      </c>
      <c r="AN72" s="18">
        <f>IF(AL72&lt;=AM72,1,0)</f>
        <v>1</v>
      </c>
      <c r="AO72" s="19">
        <v>1.1399999999999999</v>
      </c>
      <c r="AP72" s="19">
        <v>1.17</v>
      </c>
      <c r="AQ72" s="18">
        <f>IF(AO72&gt;AP72,1,0)</f>
        <v>0</v>
      </c>
      <c r="AR72" s="19">
        <v>23.55</v>
      </c>
      <c r="AS72" s="19">
        <v>23</v>
      </c>
      <c r="AT72" s="14">
        <f>IF(AR72&gt;=AS72,1,0)</f>
        <v>1</v>
      </c>
      <c r="AU72" s="20">
        <f>SUM(I72,N72,AB72,AD72,AK72,AN72,AQ72,AT72,F72,W72)</f>
        <v>5</v>
      </c>
    </row>
    <row r="73" spans="1:47" customFormat="1" ht="15.6" x14ac:dyDescent="0.3">
      <c r="A73" s="11">
        <v>72</v>
      </c>
      <c r="B73" s="12" t="s">
        <v>118</v>
      </c>
      <c r="C73" s="13">
        <v>453539.84000000003</v>
      </c>
      <c r="D73" s="12">
        <v>33.03</v>
      </c>
      <c r="E73" s="12">
        <v>35.46</v>
      </c>
      <c r="F73" s="14">
        <f>IF(OR(D73&gt;=E73,D73=0),0,1)</f>
        <v>1</v>
      </c>
      <c r="G73" s="12">
        <v>5.89</v>
      </c>
      <c r="H73" s="12">
        <v>1.22</v>
      </c>
      <c r="I73" s="14">
        <f>IF(AND(H73&lt;=1,H73&gt;0),1,0)</f>
        <v>0</v>
      </c>
      <c r="J73" s="12">
        <v>14073.17</v>
      </c>
      <c r="K73" s="12">
        <v>12269.82</v>
      </c>
      <c r="L73" s="12">
        <v>8.84</v>
      </c>
      <c r="M73" s="12">
        <v>8.82</v>
      </c>
      <c r="N73" s="14">
        <f>IF(AND(J73&gt;K73,L73&gt;=M73),1,0)</f>
        <v>1</v>
      </c>
      <c r="O73" s="15">
        <v>3295.2</v>
      </c>
      <c r="P73" s="15">
        <v>3180.6</v>
      </c>
      <c r="Q73" s="15">
        <v>3170.7</v>
      </c>
      <c r="R73" s="15">
        <v>3282.6</v>
      </c>
      <c r="S73" s="15">
        <v>2754.1</v>
      </c>
      <c r="T73" s="15">
        <v>2658.4</v>
      </c>
      <c r="U73" s="15">
        <v>2347.8000000000002</v>
      </c>
      <c r="V73" s="15">
        <v>3508.4</v>
      </c>
      <c r="W73" s="14">
        <f>IF(AND(O73&gt;S73,P73&gt;T73,Q73&gt;U73,R73&gt;V73),1,0)</f>
        <v>0</v>
      </c>
      <c r="X73" s="12">
        <v>3175.81</v>
      </c>
      <c r="Y73" s="12">
        <v>-5629.95</v>
      </c>
      <c r="Z73" s="12">
        <v>1.9</v>
      </c>
      <c r="AA73" s="12">
        <v>-4.05</v>
      </c>
      <c r="AB73" s="14">
        <f>IF(AND(X73&gt;Y73,Z73&gt;=AA73,X73&gt;0),1,0)</f>
        <v>1</v>
      </c>
      <c r="AC73" s="12" t="str">
        <f>IF(X73&gt;J73,"Yes","No")</f>
        <v>No</v>
      </c>
      <c r="AD73" s="14">
        <f>IF(X73&gt;J73,1,0)</f>
        <v>0</v>
      </c>
      <c r="AE73" s="16">
        <v>126573.3</v>
      </c>
      <c r="AF73" s="25">
        <v>90322</v>
      </c>
      <c r="AG73" s="17">
        <f>AE73/AF73</f>
        <v>1.401356258718806</v>
      </c>
      <c r="AH73" s="16">
        <v>98265.600000000006</v>
      </c>
      <c r="AI73" s="16">
        <v>75545.7</v>
      </c>
      <c r="AJ73" s="17">
        <f>AH73/AI73</f>
        <v>1.3007437881970783</v>
      </c>
      <c r="AK73" s="18">
        <f>IF(AG73&gt;=AJ73,1,0)</f>
        <v>1</v>
      </c>
      <c r="AL73" s="19">
        <v>1.03</v>
      </c>
      <c r="AM73" s="19">
        <v>1.02</v>
      </c>
      <c r="AN73" s="18">
        <f>IF(AL73&lt;=AM73,1,0)</f>
        <v>0</v>
      </c>
      <c r="AO73" s="19">
        <v>0.62</v>
      </c>
      <c r="AP73" s="19">
        <v>0.63</v>
      </c>
      <c r="AQ73" s="18">
        <f>IF(AO73&gt;AP73,1,0)</f>
        <v>0</v>
      </c>
      <c r="AR73" s="19">
        <v>18.649999999999999</v>
      </c>
      <c r="AS73" s="19">
        <v>17.079999999999998</v>
      </c>
      <c r="AT73" s="14">
        <f>IF(AR73&gt;=AS73,1,0)</f>
        <v>1</v>
      </c>
      <c r="AU73" s="20">
        <f>SUM(I73,N73,AB73,AD73,AK73,AN73,AQ73,AT73,F73,W73)</f>
        <v>5</v>
      </c>
    </row>
    <row r="74" spans="1:47" customFormat="1" ht="15.6" x14ac:dyDescent="0.3">
      <c r="A74" s="11">
        <v>73</v>
      </c>
      <c r="B74" s="12" t="s">
        <v>119</v>
      </c>
      <c r="C74" s="13">
        <v>372418.72</v>
      </c>
      <c r="D74" s="12">
        <v>14.33</v>
      </c>
      <c r="E74" s="12">
        <v>12.63</v>
      </c>
      <c r="F74" s="14">
        <f>IF(OR(D74&gt;=E74,D74=0),0,1)</f>
        <v>0</v>
      </c>
      <c r="G74" s="12">
        <v>1.88</v>
      </c>
      <c r="H74" s="12">
        <v>0.56000000000000005</v>
      </c>
      <c r="I74" s="14">
        <f>IF(AND(H74&lt;=1,H74&gt;0),1,0)</f>
        <v>1</v>
      </c>
      <c r="J74" s="12">
        <v>28190.799999999999</v>
      </c>
      <c r="K74" s="12">
        <v>26492.25</v>
      </c>
      <c r="L74" s="12">
        <v>22.14</v>
      </c>
      <c r="M74" s="12">
        <v>23.5</v>
      </c>
      <c r="N74" s="14">
        <f>IF(AND(J74&gt;K74,L74&gt;=M74),1,0)</f>
        <v>0</v>
      </c>
      <c r="O74" s="15">
        <v>6243.7</v>
      </c>
      <c r="P74" s="15">
        <v>7475.1</v>
      </c>
      <c r="Q74" s="15">
        <v>6742.3</v>
      </c>
      <c r="R74" s="15">
        <v>7401.3</v>
      </c>
      <c r="S74" s="15">
        <v>6436.4</v>
      </c>
      <c r="T74" s="15">
        <v>7599</v>
      </c>
      <c r="U74" s="15">
        <v>6491.7</v>
      </c>
      <c r="V74" s="15">
        <v>6204.2</v>
      </c>
      <c r="W74" s="14">
        <f>IF(AND(O74&gt;S74,P74&gt;T74,Q74&gt;U74,R74&gt;V74),1,0)</f>
        <v>0</v>
      </c>
      <c r="X74" s="12">
        <v>44383.68</v>
      </c>
      <c r="Y74" s="12">
        <v>-5554.67</v>
      </c>
      <c r="Z74" s="12">
        <v>34.33</v>
      </c>
      <c r="AA74" s="12">
        <v>-4.93</v>
      </c>
      <c r="AB74" s="14">
        <f>IF(AND(X74&gt;Y74,Z74&gt;=AA74,X74&gt;0),1,0)</f>
        <v>1</v>
      </c>
      <c r="AC74" s="12" t="str">
        <f>IF(X74&gt;J74,"Yes","No")</f>
        <v>Yes</v>
      </c>
      <c r="AD74" s="14">
        <f>IF(X74&gt;J74,1,0)</f>
        <v>1</v>
      </c>
      <c r="AE74" s="16">
        <v>1253496.2</v>
      </c>
      <c r="AF74" s="16">
        <v>77484.399999999994</v>
      </c>
      <c r="AG74" s="17">
        <f>AE74/AF74</f>
        <v>16.177400870368746</v>
      </c>
      <c r="AH74" s="25">
        <v>1179758</v>
      </c>
      <c r="AI74" s="16">
        <v>65413.599999999999</v>
      </c>
      <c r="AJ74" s="17">
        <f>AH74/AI74</f>
        <v>18.035362676874534</v>
      </c>
      <c r="AK74" s="18">
        <f>IF(AG74&gt;=AJ74,1,0)</f>
        <v>0</v>
      </c>
      <c r="AL74" s="19">
        <v>1.18</v>
      </c>
      <c r="AM74" s="19">
        <v>1.45</v>
      </c>
      <c r="AN74" s="18">
        <f>IF(AL74&lt;=AM74,1,0)</f>
        <v>1</v>
      </c>
      <c r="AO74" s="19">
        <v>0.08</v>
      </c>
      <c r="AP74" s="19">
        <v>0.08</v>
      </c>
      <c r="AQ74" s="18">
        <f>IF(AO74&gt;AP74,1,0)</f>
        <v>0</v>
      </c>
      <c r="AR74" s="19">
        <v>28.79</v>
      </c>
      <c r="AS74" s="19">
        <v>28.52</v>
      </c>
      <c r="AT74" s="14">
        <f>IF(AR74&gt;=AS74,1,0)</f>
        <v>1</v>
      </c>
      <c r="AU74" s="20">
        <f>SUM(I74,N74,AB74,AD74,AK74,AN74,AQ74,AT74,F74,W74)</f>
        <v>5</v>
      </c>
    </row>
    <row r="75" spans="1:47" customFormat="1" ht="15.6" x14ac:dyDescent="0.3">
      <c r="A75" s="11">
        <v>74</v>
      </c>
      <c r="B75" s="12" t="s">
        <v>120</v>
      </c>
      <c r="C75" s="13">
        <v>330889.01</v>
      </c>
      <c r="D75" s="12">
        <v>1760.05</v>
      </c>
      <c r="E75" s="12">
        <v>38.79</v>
      </c>
      <c r="F75" s="14">
        <f>IF(OR(D75&gt;=E75,D75=0),0,1)</f>
        <v>0</v>
      </c>
      <c r="G75" s="12">
        <v>10.73</v>
      </c>
      <c r="H75" s="12">
        <v>55.75</v>
      </c>
      <c r="I75" s="14">
        <f>IF(AND(H75&lt;=1,H75&gt;0),1,0)</f>
        <v>0</v>
      </c>
      <c r="J75" s="12">
        <v>527</v>
      </c>
      <c r="K75" s="12">
        <v>351</v>
      </c>
      <c r="L75" s="12">
        <v>2.14</v>
      </c>
      <c r="M75" s="12">
        <v>1.84</v>
      </c>
      <c r="N75" s="14">
        <f>IF(AND(J75&gt;K75,L75&gt;=M75),1,0)</f>
        <v>1</v>
      </c>
      <c r="O75" s="15">
        <v>25</v>
      </c>
      <c r="P75" s="15">
        <v>39</v>
      </c>
      <c r="Q75" s="15">
        <v>59</v>
      </c>
      <c r="R75" s="15">
        <v>176</v>
      </c>
      <c r="S75" s="15">
        <v>253</v>
      </c>
      <c r="T75" s="15">
        <v>175</v>
      </c>
      <c r="U75" s="15">
        <v>138</v>
      </c>
      <c r="V75" s="15">
        <v>36</v>
      </c>
      <c r="W75" s="14">
        <f>IF(AND(O75&gt;S75,P75&gt;T75,Q75&gt;U75,R75&gt;V75),1,0)</f>
        <v>0</v>
      </c>
      <c r="X75" s="12">
        <v>308</v>
      </c>
      <c r="Y75" s="12">
        <v>646</v>
      </c>
      <c r="Z75" s="12">
        <v>0.96</v>
      </c>
      <c r="AA75" s="12">
        <v>5.33</v>
      </c>
      <c r="AB75" s="14">
        <f>IF(AND(X75&gt;Y75,Z75&gt;=AA75,X75&gt;0),1,0)</f>
        <v>0</v>
      </c>
      <c r="AC75" s="12" t="str">
        <f>IF(X75&gt;J75,"Yes","No")</f>
        <v>No</v>
      </c>
      <c r="AD75" s="14">
        <f>IF(X75&gt;J75,1,0)</f>
        <v>0</v>
      </c>
      <c r="AE75" s="25">
        <v>11701</v>
      </c>
      <c r="AF75" s="25">
        <v>3326</v>
      </c>
      <c r="AG75" s="17">
        <f>AE75/AF75</f>
        <v>3.5180396873120867</v>
      </c>
      <c r="AH75" s="25">
        <v>5458</v>
      </c>
      <c r="AI75" s="25">
        <v>2083</v>
      </c>
      <c r="AJ75" s="17">
        <f>AH75/AI75</f>
        <v>2.6202592414786365</v>
      </c>
      <c r="AK75" s="18">
        <f>IF(AG75&gt;=AJ75,1,0)</f>
        <v>1</v>
      </c>
      <c r="AL75" s="19">
        <v>0</v>
      </c>
      <c r="AM75" s="19">
        <v>0</v>
      </c>
      <c r="AN75" s="18">
        <f>IF(AL75&lt;=AM75,1,0)</f>
        <v>1</v>
      </c>
      <c r="AO75" s="19">
        <v>0.69</v>
      </c>
      <c r="AP75" s="19">
        <v>0.54</v>
      </c>
      <c r="AQ75" s="18">
        <f>IF(AO75&gt;AP75,1,0)</f>
        <v>1</v>
      </c>
      <c r="AR75" s="19">
        <v>2.99</v>
      </c>
      <c r="AS75" s="19">
        <v>0.32</v>
      </c>
      <c r="AT75" s="14">
        <f>IF(AR75&gt;=AS75,1,0)</f>
        <v>1</v>
      </c>
      <c r="AU75" s="20">
        <f>SUM(I75,N75,AB75,AD75,AK75,AN75,AQ75,AT75,F75,W75)</f>
        <v>5</v>
      </c>
    </row>
    <row r="76" spans="1:47" customFormat="1" ht="15.6" x14ac:dyDescent="0.3">
      <c r="A76" s="11">
        <v>75</v>
      </c>
      <c r="B76" s="12" t="s">
        <v>121</v>
      </c>
      <c r="C76" s="13">
        <v>320087.36</v>
      </c>
      <c r="D76" s="12">
        <v>25.79</v>
      </c>
      <c r="E76" s="12">
        <v>24.93</v>
      </c>
      <c r="F76" s="14">
        <f>IF(OR(D76&gt;=E76,D76=0),0,1)</f>
        <v>0</v>
      </c>
      <c r="G76" s="12">
        <v>5.68</v>
      </c>
      <c r="H76" s="12">
        <v>0.68</v>
      </c>
      <c r="I76" s="14">
        <f>IF(AND(H76&lt;=1,H76&gt;0),1,0)</f>
        <v>1</v>
      </c>
      <c r="J76" s="12">
        <v>12749.61</v>
      </c>
      <c r="K76" s="12">
        <v>20828.79</v>
      </c>
      <c r="L76" s="12">
        <v>22.71</v>
      </c>
      <c r="M76" s="12">
        <v>41.37</v>
      </c>
      <c r="N76" s="14">
        <f>IF(AND(J76&gt;K76,L76&gt;=M76),1,0)</f>
        <v>0</v>
      </c>
      <c r="O76" s="15">
        <v>3384.9</v>
      </c>
      <c r="P76" s="15">
        <v>2637</v>
      </c>
      <c r="Q76" s="15">
        <v>3057.2</v>
      </c>
      <c r="R76" s="15">
        <v>3331.8</v>
      </c>
      <c r="S76" s="15">
        <v>3912.8</v>
      </c>
      <c r="T76" s="15">
        <v>2737.2</v>
      </c>
      <c r="U76" s="15">
        <v>2738</v>
      </c>
      <c r="V76" s="15">
        <v>6594.2</v>
      </c>
      <c r="W76" s="14">
        <f>IF(AND(O76&gt;S76,P76&gt;T76,Q76&gt;U76,R76&gt;V76),1,0)</f>
        <v>0</v>
      </c>
      <c r="X76" s="12">
        <v>21501.11</v>
      </c>
      <c r="Y76" s="12">
        <v>14170.15</v>
      </c>
      <c r="Z76" s="12">
        <v>38.840000000000003</v>
      </c>
      <c r="AA76" s="12">
        <v>28.14</v>
      </c>
      <c r="AB76" s="14">
        <f>IF(AND(X76&gt;Y76,Z76&gt;=AA76,X76&gt;0),1,0)</f>
        <v>1</v>
      </c>
      <c r="AC76" s="12" t="str">
        <f>IF(X76&gt;J76,"Yes","No")</f>
        <v>Yes</v>
      </c>
      <c r="AD76" s="14">
        <f>IF(X76&gt;J76,1,0)</f>
        <v>1</v>
      </c>
      <c r="AE76" s="16">
        <v>26329.200000000001</v>
      </c>
      <c r="AF76" s="25">
        <v>16441</v>
      </c>
      <c r="AG76" s="17">
        <f>AE76/AF76</f>
        <v>1.6014354358007421</v>
      </c>
      <c r="AH76" s="16">
        <v>25586.6</v>
      </c>
      <c r="AI76" s="16">
        <v>15788.7</v>
      </c>
      <c r="AJ76" s="17">
        <f>AH76/AI76</f>
        <v>1.6205640743063074</v>
      </c>
      <c r="AK76" s="18">
        <f>IF(AG76&gt;=AJ76,1,0)</f>
        <v>0</v>
      </c>
      <c r="AL76" s="19">
        <v>0.51</v>
      </c>
      <c r="AM76" s="19">
        <v>0.74</v>
      </c>
      <c r="AN76" s="18">
        <f>IF(AL76&lt;=AM76,1,0)</f>
        <v>1</v>
      </c>
      <c r="AO76" s="19">
        <v>0.55000000000000004</v>
      </c>
      <c r="AP76" s="19">
        <v>0.56999999999999995</v>
      </c>
      <c r="AQ76" s="18">
        <f>IF(AO76&gt;AP76,1,0)</f>
        <v>0</v>
      </c>
      <c r="AR76" s="19">
        <v>36.17</v>
      </c>
      <c r="AS76" s="19">
        <v>30.16</v>
      </c>
      <c r="AT76" s="14">
        <f>IF(AR76&gt;=AS76,1,0)</f>
        <v>1</v>
      </c>
      <c r="AU76" s="20">
        <f>SUM(I76,N76,AB76,AD76,AK76,AN76,AQ76,AT76,F76,W76)</f>
        <v>5</v>
      </c>
    </row>
    <row r="77" spans="1:47" customFormat="1" ht="15.6" x14ac:dyDescent="0.3">
      <c r="A77" s="11">
        <v>76</v>
      </c>
      <c r="B77" s="12" t="s">
        <v>122</v>
      </c>
      <c r="C77" s="13">
        <v>211371.58</v>
      </c>
      <c r="D77" s="12">
        <v>20.21</v>
      </c>
      <c r="E77" s="12">
        <v>33.520000000000003</v>
      </c>
      <c r="F77" s="14">
        <f>IF(OR(D77&gt;=E77,D77=0),0,1)</f>
        <v>1</v>
      </c>
      <c r="G77" s="12">
        <v>15.52</v>
      </c>
      <c r="H77" s="12">
        <v>7.89</v>
      </c>
      <c r="I77" s="14">
        <f>IF(AND(H77&lt;=1,H77&gt;0),1,0)</f>
        <v>0</v>
      </c>
      <c r="J77" s="12">
        <v>10279</v>
      </c>
      <c r="K77" s="12">
        <v>7787</v>
      </c>
      <c r="L77" s="12">
        <v>30.4</v>
      </c>
      <c r="M77" s="12">
        <v>26.87</v>
      </c>
      <c r="N77" s="14">
        <f>IF(AND(J77&gt;K77,L77&gt;=M77),1,0)</f>
        <v>1</v>
      </c>
      <c r="O77" s="15">
        <v>2234</v>
      </c>
      <c r="P77" s="15">
        <v>3003</v>
      </c>
      <c r="Q77" s="15">
        <v>2678</v>
      </c>
      <c r="R77" s="15">
        <v>2327</v>
      </c>
      <c r="S77" s="15">
        <v>2345</v>
      </c>
      <c r="T77" s="15">
        <v>2038</v>
      </c>
      <c r="U77" s="15">
        <v>2028</v>
      </c>
      <c r="V77" s="15">
        <v>1729</v>
      </c>
      <c r="W77" s="14">
        <f>IF(AND(O77&gt;S77,P77&gt;T77,Q77&gt;U77,R77&gt;V77),1,0)</f>
        <v>0</v>
      </c>
      <c r="X77" s="12">
        <v>14127</v>
      </c>
      <c r="Y77" s="12">
        <v>13343</v>
      </c>
      <c r="Z77" s="12">
        <v>41.74</v>
      </c>
      <c r="AA77" s="12">
        <v>46.12</v>
      </c>
      <c r="AB77" s="14">
        <f>IF(AND(X77&gt;Y77,Z77&gt;=AA77,X77&gt;0),1,0)</f>
        <v>0</v>
      </c>
      <c r="AC77" s="12" t="str">
        <f>IF(X77&gt;J77,"Yes","No")</f>
        <v>Yes</v>
      </c>
      <c r="AD77" s="14">
        <f>IF(X77&gt;J77,1,0)</f>
        <v>1</v>
      </c>
      <c r="AE77" s="25">
        <v>11626</v>
      </c>
      <c r="AF77" s="25">
        <v>11199</v>
      </c>
      <c r="AG77" s="17">
        <f>AE77/AF77</f>
        <v>1.0381284043218144</v>
      </c>
      <c r="AH77" s="25">
        <v>12625</v>
      </c>
      <c r="AI77" s="25">
        <v>10841</v>
      </c>
      <c r="AJ77" s="17">
        <f>AH77/AI77</f>
        <v>1.1645604649017618</v>
      </c>
      <c r="AK77" s="18">
        <f>IF(AG77&gt;=AJ77,1,0)</f>
        <v>0</v>
      </c>
      <c r="AL77" s="19">
        <v>0.45</v>
      </c>
      <c r="AM77" s="19">
        <v>0.28000000000000003</v>
      </c>
      <c r="AN77" s="18">
        <f>IF(AL77&lt;=AM77,1,0)</f>
        <v>0</v>
      </c>
      <c r="AO77" s="19">
        <v>1</v>
      </c>
      <c r="AP77" s="19">
        <v>0.83</v>
      </c>
      <c r="AQ77" s="18">
        <f>IF(AO77&gt;AP77,1,0)</f>
        <v>1</v>
      </c>
      <c r="AR77" s="19">
        <v>49.59</v>
      </c>
      <c r="AS77" s="19">
        <v>45.51</v>
      </c>
      <c r="AT77" s="14">
        <f>IF(AR77&gt;=AS77,1,0)</f>
        <v>1</v>
      </c>
      <c r="AU77" s="20">
        <f>SUM(I77,N77,AB77,AD77,AK77,AN77,AQ77,AT77,F77,W77)</f>
        <v>5</v>
      </c>
    </row>
    <row r="78" spans="1:47" customFormat="1" ht="15.6" x14ac:dyDescent="0.3">
      <c r="A78" s="11">
        <v>77</v>
      </c>
      <c r="B78" s="12" t="s">
        <v>123</v>
      </c>
      <c r="C78" s="13">
        <v>190687.15</v>
      </c>
      <c r="D78" s="12">
        <v>35.44</v>
      </c>
      <c r="E78" s="12">
        <v>35.46</v>
      </c>
      <c r="F78" s="14">
        <f>IF(OR(D78&gt;=E78,D78=0),0,1)</f>
        <v>1</v>
      </c>
      <c r="G78" s="12">
        <v>12.09</v>
      </c>
      <c r="H78" s="12">
        <v>1.46</v>
      </c>
      <c r="I78" s="14">
        <f>IF(AND(H78&lt;=1,H78&gt;0),1,0)</f>
        <v>0</v>
      </c>
      <c r="J78" s="12">
        <v>5492.25</v>
      </c>
      <c r="K78" s="12">
        <v>5954.31</v>
      </c>
      <c r="L78" s="12">
        <v>8.1199999999999992</v>
      </c>
      <c r="M78" s="12">
        <v>8.68</v>
      </c>
      <c r="N78" s="14">
        <f>IF(AND(J78&gt;K78,L78&gt;=M78),1,0)</f>
        <v>0</v>
      </c>
      <c r="O78" s="15">
        <v>324.7</v>
      </c>
      <c r="P78" s="15">
        <v>316.10000000000002</v>
      </c>
      <c r="Q78" s="15">
        <v>294.8</v>
      </c>
      <c r="R78" s="15">
        <v>689.1</v>
      </c>
      <c r="S78" s="15">
        <v>312.60000000000002</v>
      </c>
      <c r="T78" s="15">
        <v>310.60000000000002</v>
      </c>
      <c r="U78" s="15">
        <v>293.8</v>
      </c>
      <c r="V78" s="15">
        <v>668.2</v>
      </c>
      <c r="W78" s="14">
        <f>IF(AND(O78&gt;S78,P78&gt;T78,Q78&gt;U78,R78&gt;V78),1,0)</f>
        <v>1</v>
      </c>
      <c r="X78" s="12">
        <v>4251.32</v>
      </c>
      <c r="Y78" s="12">
        <v>9113.34</v>
      </c>
      <c r="Z78" s="12">
        <v>6.37</v>
      </c>
      <c r="AA78" s="12">
        <v>13.3</v>
      </c>
      <c r="AB78" s="14">
        <f>IF(AND(X78&gt;Y78,Z78&gt;=AA78,X78&gt;0),1,0)</f>
        <v>0</v>
      </c>
      <c r="AC78" s="12" t="str">
        <f>IF(X78&gt;J78,"Yes","No")</f>
        <v>No</v>
      </c>
      <c r="AD78" s="14">
        <f>IF(X78&gt;J78,1,0)</f>
        <v>0</v>
      </c>
      <c r="AE78" s="16">
        <v>16032.3</v>
      </c>
      <c r="AF78" s="16">
        <v>11266.3</v>
      </c>
      <c r="AG78" s="17">
        <f>AE78/AF78</f>
        <v>1.4230315187772384</v>
      </c>
      <c r="AH78" s="25">
        <v>16124</v>
      </c>
      <c r="AI78" s="16">
        <v>12997.2</v>
      </c>
      <c r="AJ78" s="17">
        <f>AH78/AI78</f>
        <v>1.2405748930538885</v>
      </c>
      <c r="AK78" s="18">
        <f>IF(AG78&gt;=AJ78,1,0)</f>
        <v>1</v>
      </c>
      <c r="AL78" s="19">
        <v>0.03</v>
      </c>
      <c r="AM78" s="19">
        <v>0.06</v>
      </c>
      <c r="AN78" s="18">
        <f>IF(AL78&lt;=AM78,1,0)</f>
        <v>1</v>
      </c>
      <c r="AO78" s="19">
        <v>2.4500000000000002</v>
      </c>
      <c r="AP78" s="19">
        <v>2.29</v>
      </c>
      <c r="AQ78" s="18">
        <f>IF(AO78&gt;AP78,1,0)</f>
        <v>1</v>
      </c>
      <c r="AR78" s="19">
        <v>12.78</v>
      </c>
      <c r="AS78" s="19">
        <v>12.81</v>
      </c>
      <c r="AT78" s="14">
        <f>IF(AR78&gt;=AS78,1,0)</f>
        <v>0</v>
      </c>
      <c r="AU78" s="20">
        <f>SUM(I78,N78,AB78,AD78,AK78,AN78,AQ78,AT78,F78,W78)</f>
        <v>5</v>
      </c>
    </row>
    <row r="79" spans="1:47" customFormat="1" ht="15.6" x14ac:dyDescent="0.3">
      <c r="A79" s="11">
        <v>78</v>
      </c>
      <c r="B79" s="22" t="s">
        <v>124</v>
      </c>
      <c r="C79" s="23">
        <v>161422.19</v>
      </c>
      <c r="D79" s="24">
        <v>23.62</v>
      </c>
      <c r="E79" s="24">
        <v>23.62</v>
      </c>
      <c r="F79" s="14">
        <f>IF(OR(D79&gt;=E79,D79=0),0,1)</f>
        <v>0</v>
      </c>
      <c r="G79" s="24">
        <v>2.87</v>
      </c>
      <c r="H79" s="24">
        <v>10.69</v>
      </c>
      <c r="I79" s="14">
        <f>IF(AND(H79&lt;=1,H79&gt;0),1,0)</f>
        <v>0</v>
      </c>
      <c r="J79" s="24">
        <v>6502</v>
      </c>
      <c r="K79" s="24">
        <v>6412.11</v>
      </c>
      <c r="L79" s="24">
        <v>23.95</v>
      </c>
      <c r="M79" s="24">
        <v>24.06</v>
      </c>
      <c r="N79" s="14">
        <f>IF(AND(J79&gt;K79,L79&gt;=M79),1,0)</f>
        <v>0</v>
      </c>
      <c r="O79" s="15">
        <v>1745.7</v>
      </c>
      <c r="P79" s="15">
        <v>1681.9</v>
      </c>
      <c r="Q79" s="15">
        <v>1630.7</v>
      </c>
      <c r="R79" s="15">
        <v>1612.7</v>
      </c>
      <c r="S79" s="15">
        <v>1576.8</v>
      </c>
      <c r="T79" s="15">
        <v>1717.3</v>
      </c>
      <c r="U79" s="15">
        <v>1604.2</v>
      </c>
      <c r="V79" s="15">
        <v>1549.9</v>
      </c>
      <c r="W79" s="14">
        <f>IF(AND(O79&gt;S79,P79&gt;T79,Q79&gt;U79,R79&gt;V79),1,0)</f>
        <v>0</v>
      </c>
      <c r="X79" s="24">
        <v>8229.57</v>
      </c>
      <c r="Y79" s="24">
        <v>7914.1</v>
      </c>
      <c r="Z79" s="24">
        <v>30.74</v>
      </c>
      <c r="AA79" s="24">
        <v>29.7</v>
      </c>
      <c r="AB79" s="14">
        <f>IF(AND(X79&gt;Y79,Z79&gt;=AA79,X79&gt;0),1,0)</f>
        <v>1</v>
      </c>
      <c r="AC79" s="12" t="str">
        <f>IF(X79&gt;J79,"Yes","No")</f>
        <v>Yes</v>
      </c>
      <c r="AD79" s="14">
        <f>IF(X79&gt;J79,1,0)</f>
        <v>1</v>
      </c>
      <c r="AE79" s="16">
        <v>477270.2</v>
      </c>
      <c r="AF79" s="16">
        <v>434821.6</v>
      </c>
      <c r="AG79" s="17">
        <f>AE79/AF79</f>
        <v>1.0976230251671031</v>
      </c>
      <c r="AH79" s="16">
        <v>472900.9</v>
      </c>
      <c r="AI79" s="16">
        <v>435357.8</v>
      </c>
      <c r="AJ79" s="17">
        <f>AH79/AI79</f>
        <v>1.0862350462079697</v>
      </c>
      <c r="AK79" s="18">
        <f>IF(AG79&gt;=AJ79,1,0)</f>
        <v>1</v>
      </c>
      <c r="AL79" s="19">
        <v>0</v>
      </c>
      <c r="AM79" s="19">
        <v>0</v>
      </c>
      <c r="AN79" s="18">
        <f>IF(AL79&lt;=AM79,1,0)</f>
        <v>1</v>
      </c>
      <c r="AO79" s="19">
        <v>0.06</v>
      </c>
      <c r="AP79" s="19">
        <v>0.05</v>
      </c>
      <c r="AQ79" s="18">
        <f>IF(AO79&gt;AP79,1,0)</f>
        <v>1</v>
      </c>
      <c r="AR79" s="19">
        <v>99.42</v>
      </c>
      <c r="AS79" s="19">
        <v>99.46</v>
      </c>
      <c r="AT79" s="14">
        <f>IF(AR79&gt;=AS79,1,0)</f>
        <v>0</v>
      </c>
      <c r="AU79" s="20">
        <f>SUM(I79,N79,AB79,AD79,AK79,AN79,AQ79,AT79,F79,W79)</f>
        <v>5</v>
      </c>
    </row>
    <row r="80" spans="1:47" customFormat="1" ht="15.6" x14ac:dyDescent="0.3">
      <c r="A80" s="11">
        <v>79</v>
      </c>
      <c r="B80" s="22" t="s">
        <v>125</v>
      </c>
      <c r="C80" s="23">
        <v>130674.76</v>
      </c>
      <c r="D80" s="24">
        <v>7.67</v>
      </c>
      <c r="E80" s="24">
        <v>7.53</v>
      </c>
      <c r="F80" s="14">
        <f>IF(OR(D80&gt;=E80,D80=0),0,1)</f>
        <v>0</v>
      </c>
      <c r="G80" s="24">
        <v>0.92</v>
      </c>
      <c r="H80" s="24">
        <v>0.11</v>
      </c>
      <c r="I80" s="14">
        <f>IF(AND(H80&lt;=1,H80&gt;0),1,0)</f>
        <v>1</v>
      </c>
      <c r="J80" s="24">
        <v>18552.61</v>
      </c>
      <c r="K80" s="24">
        <v>9157.15</v>
      </c>
      <c r="L80" s="24">
        <v>14.96</v>
      </c>
      <c r="M80" s="24">
        <v>8.39</v>
      </c>
      <c r="N80" s="14">
        <f>IF(AND(J80&gt;K80,L80&gt;=M80),1,0)</f>
        <v>1</v>
      </c>
      <c r="O80" s="15">
        <v>2119.9</v>
      </c>
      <c r="P80" s="15">
        <v>4989.3</v>
      </c>
      <c r="Q80" s="15">
        <v>4801</v>
      </c>
      <c r="R80" s="15">
        <v>4714.1000000000004</v>
      </c>
      <c r="S80" s="15">
        <v>3975.9</v>
      </c>
      <c r="T80" s="15">
        <v>3342.2</v>
      </c>
      <c r="U80" s="15">
        <v>2432.8000000000002</v>
      </c>
      <c r="V80" s="15">
        <v>1990.2</v>
      </c>
      <c r="W80" s="14">
        <f>IF(AND(O80&gt;S80,P80&gt;T80,Q80&gt;U80,R80&gt;V80),1,0)</f>
        <v>0</v>
      </c>
      <c r="X80" s="24">
        <v>22075.279999999999</v>
      </c>
      <c r="Y80" s="24">
        <v>-27939.439999999999</v>
      </c>
      <c r="Z80" s="24">
        <v>17.05</v>
      </c>
      <c r="AA80" s="24">
        <v>-25.62</v>
      </c>
      <c r="AB80" s="14">
        <f>IF(AND(X80&gt;Y80,Z80&gt;=AA80,X80&gt;0),1,0)</f>
        <v>1</v>
      </c>
      <c r="AC80" s="12" t="str">
        <f>IF(X80&gt;J80,"Yes","No")</f>
        <v>Yes</v>
      </c>
      <c r="AD80" s="14">
        <f>IF(X80&gt;J80,1,0)</f>
        <v>1</v>
      </c>
      <c r="AE80" s="25">
        <v>1319620</v>
      </c>
      <c r="AF80" s="16">
        <v>40950.800000000003</v>
      </c>
      <c r="AG80" s="17">
        <f>AE80/AF80</f>
        <v>32.224523086240069</v>
      </c>
      <c r="AH80" s="16">
        <v>1139866.8999999999</v>
      </c>
      <c r="AI80" s="16">
        <v>35877.599999999999</v>
      </c>
      <c r="AJ80" s="17">
        <f>AH80/AI80</f>
        <v>31.770990813209355</v>
      </c>
      <c r="AK80" s="18">
        <f>IF(AG80&gt;=AJ80,1,0)</f>
        <v>1</v>
      </c>
      <c r="AL80" s="19">
        <v>0.79</v>
      </c>
      <c r="AM80" s="19">
        <v>0.71</v>
      </c>
      <c r="AN80" s="18">
        <f>IF(AL80&lt;=AM80,1,0)</f>
        <v>0</v>
      </c>
      <c r="AO80" s="19">
        <v>7.0000000000000007E-2</v>
      </c>
      <c r="AP80" s="19">
        <v>7.0000000000000007E-2</v>
      </c>
      <c r="AQ80" s="18">
        <f>IF(AO80&gt;AP80,1,0)</f>
        <v>0</v>
      </c>
      <c r="AR80" s="19">
        <v>19.37</v>
      </c>
      <c r="AS80" s="19">
        <v>20.47</v>
      </c>
      <c r="AT80" s="14">
        <f>IF(AR80&gt;=AS80,1,0)</f>
        <v>0</v>
      </c>
      <c r="AU80" s="20">
        <f>SUM(I80,N80,AB80,AD80,AK80,AN80,AQ80,AT80,F80,W80)</f>
        <v>5</v>
      </c>
    </row>
    <row r="81" spans="1:47" customFormat="1" ht="15.6" x14ac:dyDescent="0.3">
      <c r="A81" s="11">
        <v>80</v>
      </c>
      <c r="B81" s="22" t="s">
        <v>126</v>
      </c>
      <c r="C81" s="23">
        <v>115835.68</v>
      </c>
      <c r="D81" s="24">
        <v>61.07</v>
      </c>
      <c r="E81" s="24">
        <v>53.28</v>
      </c>
      <c r="F81" s="14">
        <f>IF(OR(D81&gt;=E81,D81=0),0,1)</f>
        <v>0</v>
      </c>
      <c r="G81" s="24">
        <v>9.65</v>
      </c>
      <c r="H81" s="24">
        <v>38.17</v>
      </c>
      <c r="I81" s="14">
        <f>IF(AND(H81&lt;=1,H81&gt;0),1,0)</f>
        <v>0</v>
      </c>
      <c r="J81" s="24">
        <v>1852.3</v>
      </c>
      <c r="K81" s="24">
        <v>-560.54999999999995</v>
      </c>
      <c r="L81" s="24">
        <v>13.03</v>
      </c>
      <c r="M81" s="24">
        <v>9.8699999999999992</v>
      </c>
      <c r="N81" s="14">
        <f>IF(AND(J81&gt;K81,L81&gt;=M81),1,0)</f>
        <v>1</v>
      </c>
      <c r="O81" s="15">
        <v>411.9</v>
      </c>
      <c r="P81" s="15">
        <v>498.3</v>
      </c>
      <c r="Q81" s="15">
        <v>491.3</v>
      </c>
      <c r="R81" s="15">
        <v>450.7</v>
      </c>
      <c r="S81" s="15">
        <v>-1893.2</v>
      </c>
      <c r="T81" s="15">
        <v>581.1</v>
      </c>
      <c r="U81" s="15">
        <v>432.8</v>
      </c>
      <c r="V81" s="15">
        <v>318.8</v>
      </c>
      <c r="W81" s="14">
        <f>IF(AND(O81&gt;S81,P81&gt;T81,Q81&gt;U81,R81&gt;V81),1,0)</f>
        <v>0</v>
      </c>
      <c r="X81" s="24">
        <v>2576.75</v>
      </c>
      <c r="Y81" s="24">
        <v>2069.9499999999998</v>
      </c>
      <c r="Z81" s="24">
        <v>17.54</v>
      </c>
      <c r="AA81" s="24">
        <v>14.68</v>
      </c>
      <c r="AB81" s="14">
        <f>IF(AND(X81&gt;Y81,Z81&gt;=AA81,X81&gt;0),1,0)</f>
        <v>1</v>
      </c>
      <c r="AC81" s="12" t="str">
        <f>IF(X81&gt;J81,"Yes","No")</f>
        <v>Yes</v>
      </c>
      <c r="AD81" s="14">
        <f>IF(X81&gt;J81,1,0)</f>
        <v>1</v>
      </c>
      <c r="AE81" s="16">
        <v>7337.9</v>
      </c>
      <c r="AF81" s="16">
        <v>6933.6</v>
      </c>
      <c r="AG81" s="17">
        <f>AE81/AF81</f>
        <v>1.058310257297796</v>
      </c>
      <c r="AH81" s="16">
        <v>5561.2</v>
      </c>
      <c r="AI81" s="16">
        <v>5590.3</v>
      </c>
      <c r="AJ81" s="17">
        <f>AH81/AI81</f>
        <v>0.99479455485394341</v>
      </c>
      <c r="AK81" s="18">
        <f>IF(AG81&gt;=AJ81,1,0)</f>
        <v>1</v>
      </c>
      <c r="AL81" s="19">
        <v>0</v>
      </c>
      <c r="AM81" s="19">
        <v>0</v>
      </c>
      <c r="AN81" s="18">
        <f>IF(AL81&lt;=AM81,1,0)</f>
        <v>1</v>
      </c>
      <c r="AO81" s="19">
        <v>0.75</v>
      </c>
      <c r="AP81" s="19">
        <v>0.78</v>
      </c>
      <c r="AQ81" s="18">
        <f>IF(AO81&gt;AP81,1,0)</f>
        <v>0</v>
      </c>
      <c r="AR81" s="19">
        <v>20.46</v>
      </c>
      <c r="AS81" s="19">
        <v>20.49</v>
      </c>
      <c r="AT81" s="14">
        <f>IF(AR81&gt;=AS81,1,0)</f>
        <v>0</v>
      </c>
      <c r="AU81" s="20">
        <f>SUM(I81,N81,AB81,AD81,AK81,AN81,AQ81,AT81,F81,W81)</f>
        <v>5</v>
      </c>
    </row>
    <row r="82" spans="1:47" customFormat="1" ht="15.6" x14ac:dyDescent="0.3">
      <c r="A82" s="11">
        <v>81</v>
      </c>
      <c r="B82" s="22" t="s">
        <v>127</v>
      </c>
      <c r="C82" s="23">
        <v>113611.45</v>
      </c>
      <c r="D82" s="24">
        <v>72.2</v>
      </c>
      <c r="E82" s="24">
        <v>59.79</v>
      </c>
      <c r="F82" s="14">
        <f>IF(OR(D82&gt;=E82,D82=0),0,1)</f>
        <v>0</v>
      </c>
      <c r="G82" s="24">
        <v>13.83</v>
      </c>
      <c r="H82" s="24">
        <v>3.98</v>
      </c>
      <c r="I82" s="14">
        <f>IF(AND(H82&lt;=1,H82&gt;0),1,0)</f>
        <v>0</v>
      </c>
      <c r="J82" s="24">
        <v>1505.1</v>
      </c>
      <c r="K82" s="24">
        <v>935</v>
      </c>
      <c r="L82" s="24">
        <v>6.66</v>
      </c>
      <c r="M82" s="24">
        <v>4.78</v>
      </c>
      <c r="N82" s="14">
        <f>IF(AND(J82&gt;K82,L82&gt;=M82),1,0)</f>
        <v>1</v>
      </c>
      <c r="O82" s="15">
        <v>389.6</v>
      </c>
      <c r="P82" s="15">
        <v>372.3</v>
      </c>
      <c r="Q82" s="15">
        <v>378.8</v>
      </c>
      <c r="R82" s="15">
        <v>305.2</v>
      </c>
      <c r="S82" s="15">
        <v>253.8</v>
      </c>
      <c r="T82" s="15">
        <v>245.3</v>
      </c>
      <c r="U82" s="15">
        <v>232.9</v>
      </c>
      <c r="V82" s="15">
        <v>166.6</v>
      </c>
      <c r="W82" s="14">
        <f>IF(AND(O82&gt;S82,P82&gt;T82,Q82&gt;U82,R82&gt;V82),1,0)</f>
        <v>1</v>
      </c>
      <c r="X82" s="24">
        <v>2136.4</v>
      </c>
      <c r="Y82" s="24">
        <v>1920.2</v>
      </c>
      <c r="Z82" s="24">
        <v>9.4700000000000006</v>
      </c>
      <c r="AA82" s="24">
        <v>10.07</v>
      </c>
      <c r="AB82" s="14">
        <f>IF(AND(X82&gt;Y82,Z82&gt;=AA82,X82&gt;0),1,0)</f>
        <v>0</v>
      </c>
      <c r="AC82" s="12" t="str">
        <f>IF(X82&gt;J82,"Yes","No")</f>
        <v>Yes</v>
      </c>
      <c r="AD82" s="14">
        <f>IF(X82&gt;J82,1,0)</f>
        <v>1</v>
      </c>
      <c r="AE82" s="16">
        <v>7028.9</v>
      </c>
      <c r="AF82" s="16">
        <v>4578.8999999999996</v>
      </c>
      <c r="AG82" s="17">
        <f>AE82/AF82</f>
        <v>1.5350630063989168</v>
      </c>
      <c r="AH82" s="16">
        <v>5279.7</v>
      </c>
      <c r="AI82" s="16">
        <v>4664.5</v>
      </c>
      <c r="AJ82" s="17">
        <f>AH82/AI82</f>
        <v>1.1318898059813485</v>
      </c>
      <c r="AK82" s="18">
        <f>IF(AG82&gt;=AJ82,1,0)</f>
        <v>1</v>
      </c>
      <c r="AL82" s="19">
        <v>0.54</v>
      </c>
      <c r="AM82" s="19">
        <v>0.32</v>
      </c>
      <c r="AN82" s="18">
        <f>IF(AL82&lt;=AM82,1,0)</f>
        <v>0</v>
      </c>
      <c r="AO82" s="19">
        <v>1.17</v>
      </c>
      <c r="AP82" s="19">
        <v>1.22</v>
      </c>
      <c r="AQ82" s="18">
        <f>IF(AO82&gt;AP82,1,0)</f>
        <v>0</v>
      </c>
      <c r="AR82" s="19">
        <v>13.74</v>
      </c>
      <c r="AS82" s="19">
        <v>12.47</v>
      </c>
      <c r="AT82" s="14">
        <f>IF(AR82&gt;=AS82,1,0)</f>
        <v>1</v>
      </c>
      <c r="AU82" s="20">
        <f>SUM(I82,N82,AB82,AD82,AK82,AN82,AQ82,AT82,F82,W82)</f>
        <v>5</v>
      </c>
    </row>
    <row r="83" spans="1:47" customFormat="1" ht="15.6" x14ac:dyDescent="0.3">
      <c r="A83" s="11">
        <v>82</v>
      </c>
      <c r="B83" s="22" t="s">
        <v>128</v>
      </c>
      <c r="C83" s="23">
        <v>113219.23</v>
      </c>
      <c r="D83" s="24">
        <v>51.44</v>
      </c>
      <c r="E83" s="24">
        <v>55.94</v>
      </c>
      <c r="F83" s="14">
        <f>IF(OR(D83&gt;=E83,D83=0),0,1)</f>
        <v>1</v>
      </c>
      <c r="G83" s="24"/>
      <c r="H83" s="24">
        <v>2.21</v>
      </c>
      <c r="I83" s="14">
        <f>IF(AND(H83&lt;=1,H83&gt;0),1,0)</f>
        <v>0</v>
      </c>
      <c r="J83" s="24">
        <v>2203.35</v>
      </c>
      <c r="K83" s="24">
        <v>1511.07</v>
      </c>
      <c r="L83" s="24">
        <v>9.0299999999999994</v>
      </c>
      <c r="M83" s="24">
        <v>7.07</v>
      </c>
      <c r="N83" s="14">
        <f>IF(AND(J83&gt;K83,L83&gt;=M83),1,0)</f>
        <v>1</v>
      </c>
      <c r="O83" s="15" t="s">
        <v>76</v>
      </c>
      <c r="P83" s="15" t="s">
        <v>76</v>
      </c>
      <c r="Q83" s="15" t="s">
        <v>76</v>
      </c>
      <c r="R83" s="15">
        <v>679.7</v>
      </c>
      <c r="S83" s="15" t="s">
        <v>76</v>
      </c>
      <c r="T83" s="15" t="s">
        <v>76</v>
      </c>
      <c r="U83" s="15" t="s">
        <v>76</v>
      </c>
      <c r="V83" s="15" t="s">
        <v>76</v>
      </c>
      <c r="W83" s="14">
        <f>IF(AND(O83&gt;S83,P83&gt;T83,Q83&gt;U83,R83&gt;V83),1,0)</f>
        <v>0</v>
      </c>
      <c r="X83" s="24">
        <v>1653.89</v>
      </c>
      <c r="Y83" s="24">
        <v>1665.46</v>
      </c>
      <c r="Z83" s="24">
        <v>6.79</v>
      </c>
      <c r="AA83" s="24">
        <v>7.8</v>
      </c>
      <c r="AB83" s="14">
        <f>IF(AND(X83&gt;Y83,Z83&gt;=AA83,X83&gt;0),1,0)</f>
        <v>0</v>
      </c>
      <c r="AC83" s="12" t="str">
        <f>IF(X83&gt;J83,"Yes","No")</f>
        <v>No</v>
      </c>
      <c r="AD83" s="14">
        <f>IF(X83&gt;J83,1,0)</f>
        <v>0</v>
      </c>
      <c r="AE83" s="16">
        <v>9540.7999999999993</v>
      </c>
      <c r="AF83" s="16">
        <v>4898.5</v>
      </c>
      <c r="AG83" s="17">
        <f>AE83/AF83</f>
        <v>1.9476982749821372</v>
      </c>
      <c r="AH83" s="16">
        <v>6658.4</v>
      </c>
      <c r="AI83" s="16">
        <v>4186.7</v>
      </c>
      <c r="AJ83" s="17">
        <f>AH83/AI83</f>
        <v>1.5903695034275205</v>
      </c>
      <c r="AK83" s="18">
        <f>IF(AG83&gt;=AJ83,1,0)</f>
        <v>1</v>
      </c>
      <c r="AL83" s="19">
        <v>0</v>
      </c>
      <c r="AM83" s="19">
        <v>0</v>
      </c>
      <c r="AN83" s="18">
        <f>IF(AL83&lt;=AM83,1,0)</f>
        <v>1</v>
      </c>
      <c r="AO83" s="19">
        <v>2.4300000000000002</v>
      </c>
      <c r="AP83" s="19">
        <v>2.44</v>
      </c>
      <c r="AQ83" s="18">
        <f>IF(AO83&gt;AP83,1,0)</f>
        <v>0</v>
      </c>
      <c r="AR83" s="19">
        <v>12.63</v>
      </c>
      <c r="AS83" s="19">
        <v>10.32</v>
      </c>
      <c r="AT83" s="14">
        <f>IF(AR83&gt;=AS83,1,0)</f>
        <v>1</v>
      </c>
      <c r="AU83" s="20">
        <f>SUM(I83,N83,AB83,AD83,AK83,AN83,AQ83,AT83,F83,W83)</f>
        <v>5</v>
      </c>
    </row>
    <row r="84" spans="1:47" customFormat="1" ht="15.6" x14ac:dyDescent="0.3">
      <c r="A84" s="11">
        <v>83</v>
      </c>
      <c r="B84" s="22" t="s">
        <v>129</v>
      </c>
      <c r="C84" s="23">
        <v>111988.39</v>
      </c>
      <c r="D84" s="24">
        <v>45.49</v>
      </c>
      <c r="E84" s="24">
        <v>23.02</v>
      </c>
      <c r="F84" s="14">
        <f>IF(OR(D84&gt;=E84,D84=0),0,1)</f>
        <v>0</v>
      </c>
      <c r="G84" s="24">
        <v>11.39</v>
      </c>
      <c r="H84" s="24">
        <v>1.55</v>
      </c>
      <c r="I84" s="14">
        <f>IF(AND(H84&lt;=1,H84&gt;0),1,0)</f>
        <v>0</v>
      </c>
      <c r="J84" s="24">
        <v>2045.54</v>
      </c>
      <c r="K84" s="24">
        <v>1802.92</v>
      </c>
      <c r="L84" s="24">
        <v>8.73</v>
      </c>
      <c r="M84" s="24">
        <v>9.6199999999999992</v>
      </c>
      <c r="N84" s="14">
        <f>IF(AND(J84&gt;K84,L84&gt;=M84),1,0)</f>
        <v>0</v>
      </c>
      <c r="O84" s="15">
        <v>592.1</v>
      </c>
      <c r="P84" s="15">
        <v>726.7</v>
      </c>
      <c r="Q84" s="15">
        <v>457.6</v>
      </c>
      <c r="R84" s="15">
        <v>439.8</v>
      </c>
      <c r="S84" s="15">
        <v>396</v>
      </c>
      <c r="T84" s="15">
        <v>546</v>
      </c>
      <c r="U84" s="15">
        <v>412.9</v>
      </c>
      <c r="V84" s="15">
        <v>425.6</v>
      </c>
      <c r="W84" s="14">
        <f>IF(AND(O84&gt;S84,P84&gt;T84,Q84&gt;U84,R84&gt;V84),1,0)</f>
        <v>1</v>
      </c>
      <c r="X84" s="24">
        <v>1808.53</v>
      </c>
      <c r="Y84" s="24">
        <v>1296.24</v>
      </c>
      <c r="Z84" s="24">
        <v>7.35</v>
      </c>
      <c r="AA84" s="24">
        <v>7.19</v>
      </c>
      <c r="AB84" s="14">
        <f>IF(AND(X84&gt;Y84,Z84&gt;=AA84,X84&gt;0),1,0)</f>
        <v>1</v>
      </c>
      <c r="AC84" s="12" t="str">
        <f>IF(X84&gt;J84,"Yes","No")</f>
        <v>No</v>
      </c>
      <c r="AD84" s="14">
        <f>IF(X84&gt;J84,1,0)</f>
        <v>0</v>
      </c>
      <c r="AE84" s="25">
        <v>9319</v>
      </c>
      <c r="AF84" s="16">
        <v>3510.2</v>
      </c>
      <c r="AG84" s="17">
        <f>AE84/AF84</f>
        <v>2.6548344823656773</v>
      </c>
      <c r="AH84" s="25">
        <v>8714</v>
      </c>
      <c r="AI84" s="16">
        <v>3577.9</v>
      </c>
      <c r="AJ84" s="17">
        <f>AH84/AI84</f>
        <v>2.4355068615668407</v>
      </c>
      <c r="AK84" s="18">
        <f>IF(AG84&gt;=AJ84,1,0)</f>
        <v>1</v>
      </c>
      <c r="AL84" s="19">
        <v>0</v>
      </c>
      <c r="AM84" s="19">
        <v>0</v>
      </c>
      <c r="AN84" s="18">
        <f>IF(AL84&lt;=AM84,1,0)</f>
        <v>1</v>
      </c>
      <c r="AO84" s="19">
        <v>1.73</v>
      </c>
      <c r="AP84" s="19">
        <v>1.68</v>
      </c>
      <c r="AQ84" s="18">
        <f>IF(AO84&gt;AP84,1,0)</f>
        <v>1</v>
      </c>
      <c r="AR84" s="19">
        <v>13.09</v>
      </c>
      <c r="AS84" s="19">
        <v>13.65</v>
      </c>
      <c r="AT84" s="14">
        <f>IF(AR84&gt;=AS84,1,0)</f>
        <v>0</v>
      </c>
      <c r="AU84" s="20">
        <f>SUM(I84,N84,AB84,AD84,AK84,AN84,AQ84,AT84,F84,W84)</f>
        <v>5</v>
      </c>
    </row>
    <row r="85" spans="1:47" customFormat="1" ht="15.6" x14ac:dyDescent="0.3">
      <c r="A85" s="11">
        <v>84</v>
      </c>
      <c r="B85" s="22" t="s">
        <v>130</v>
      </c>
      <c r="C85" s="23">
        <v>111683.25</v>
      </c>
      <c r="D85" s="24">
        <v>46.61</v>
      </c>
      <c r="E85" s="24">
        <v>46.61</v>
      </c>
      <c r="F85" s="14">
        <f>IF(OR(D85&gt;=E85,D85=0),0,1)</f>
        <v>0</v>
      </c>
      <c r="G85" s="24">
        <v>5.0599999999999996</v>
      </c>
      <c r="H85" s="24">
        <v>1.85</v>
      </c>
      <c r="I85" s="14">
        <f>IF(AND(H85&lt;=1,H85&gt;0),1,0)</f>
        <v>0</v>
      </c>
      <c r="J85" s="24">
        <v>921.69</v>
      </c>
      <c r="K85" s="24">
        <v>1195.6099999999999</v>
      </c>
      <c r="L85" s="24">
        <v>9.3800000000000008</v>
      </c>
      <c r="M85" s="24">
        <v>6.63</v>
      </c>
      <c r="N85" s="14">
        <f>IF(AND(J85&gt;K85,L85&gt;=M85),1,0)</f>
        <v>0</v>
      </c>
      <c r="O85" s="15">
        <v>512.5</v>
      </c>
      <c r="P85" s="15">
        <v>647.20000000000005</v>
      </c>
      <c r="Q85" s="15">
        <v>561.79999999999995</v>
      </c>
      <c r="R85" s="15">
        <v>675</v>
      </c>
      <c r="S85" s="15">
        <v>-823.9</v>
      </c>
      <c r="T85" s="15">
        <v>361.4</v>
      </c>
      <c r="U85" s="15">
        <v>324.89999999999998</v>
      </c>
      <c r="V85" s="15">
        <v>275.89999999999998</v>
      </c>
      <c r="W85" s="14">
        <f>IF(AND(O85&gt;S85,P85&gt;T85,Q85&gt;U85,R85&gt;V85),1,0)</f>
        <v>1</v>
      </c>
      <c r="X85" s="24">
        <v>8695.2199999999993</v>
      </c>
      <c r="Y85" s="24">
        <v>6037.62</v>
      </c>
      <c r="Z85" s="24">
        <v>34.49</v>
      </c>
      <c r="AA85" s="24">
        <v>36.36</v>
      </c>
      <c r="AB85" s="14">
        <f>IF(AND(X85&gt;Y85,Z85&gt;=AA85,X85&gt;0),1,0)</f>
        <v>0</v>
      </c>
      <c r="AC85" s="12" t="str">
        <f>IF(X85&gt;J85,"Yes","No")</f>
        <v>Yes</v>
      </c>
      <c r="AD85" s="14">
        <f>IF(X85&gt;J85,1,0)</f>
        <v>1</v>
      </c>
      <c r="AE85" s="16">
        <v>16674.099999999999</v>
      </c>
      <c r="AF85" s="16">
        <v>10016.4</v>
      </c>
      <c r="AG85" s="17">
        <f>AE85/AF85</f>
        <v>1.6646799249231259</v>
      </c>
      <c r="AH85" s="16">
        <v>9618.1</v>
      </c>
      <c r="AI85" s="16">
        <v>8016.7</v>
      </c>
      <c r="AJ85" s="17">
        <f>AH85/AI85</f>
        <v>1.1997580051642198</v>
      </c>
      <c r="AK85" s="18">
        <f>IF(AG85&gt;=AJ85,1,0)</f>
        <v>1</v>
      </c>
      <c r="AL85" s="19">
        <v>1.68</v>
      </c>
      <c r="AM85" s="19">
        <v>2.65</v>
      </c>
      <c r="AN85" s="18">
        <f>IF(AL85&lt;=AM85,1,0)</f>
        <v>1</v>
      </c>
      <c r="AO85" s="19">
        <v>0.36</v>
      </c>
      <c r="AP85" s="19">
        <v>0.3</v>
      </c>
      <c r="AQ85" s="18">
        <f>IF(AO85&gt;AP85,1,0)</f>
        <v>1</v>
      </c>
      <c r="AR85" s="19">
        <v>34.39</v>
      </c>
      <c r="AS85" s="19">
        <v>35.840000000000003</v>
      </c>
      <c r="AT85" s="14">
        <f>IF(AR85&gt;=AS85,1,0)</f>
        <v>0</v>
      </c>
      <c r="AU85" s="20">
        <f>SUM(I85,N85,AB85,AD85,AK85,AN85,AQ85,AT85,F85,W85)</f>
        <v>5</v>
      </c>
    </row>
    <row r="86" spans="1:47" customFormat="1" ht="15.6" x14ac:dyDescent="0.3">
      <c r="A86" s="11">
        <v>85</v>
      </c>
      <c r="B86" s="22" t="s">
        <v>131</v>
      </c>
      <c r="C86" s="23">
        <v>110505.01</v>
      </c>
      <c r="D86" s="24">
        <v>32.72</v>
      </c>
      <c r="E86" s="24">
        <v>29.34</v>
      </c>
      <c r="F86" s="14">
        <f>IF(OR(D86&gt;=E86,D86=0),0,1)</f>
        <v>0</v>
      </c>
      <c r="G86" s="24">
        <v>3.17</v>
      </c>
      <c r="H86" s="24">
        <v>0.54</v>
      </c>
      <c r="I86" s="14">
        <f>IF(AND(H86&lt;=1,H86&gt;0),1,0)</f>
        <v>1</v>
      </c>
      <c r="J86" s="24">
        <v>4145.7</v>
      </c>
      <c r="K86" s="24">
        <v>3019.6</v>
      </c>
      <c r="L86" s="24">
        <v>3.56</v>
      </c>
      <c r="M86" s="24">
        <v>3.23</v>
      </c>
      <c r="N86" s="14">
        <f>IF(AND(J86&gt;K86,L86&gt;=M86),1,0)</f>
        <v>1</v>
      </c>
      <c r="O86" s="15">
        <v>1050.5</v>
      </c>
      <c r="P86" s="15">
        <v>878.6</v>
      </c>
      <c r="Q86" s="15">
        <v>879.7</v>
      </c>
      <c r="R86" s="15">
        <v>994.2</v>
      </c>
      <c r="S86" s="15">
        <v>1371.8</v>
      </c>
      <c r="T86" s="15">
        <v>542</v>
      </c>
      <c r="U86" s="15">
        <v>201.6</v>
      </c>
      <c r="V86" s="15">
        <v>600.9</v>
      </c>
      <c r="W86" s="14">
        <f>IF(AND(O86&gt;S86,P86&gt;T86,Q86&gt;U86,R86&gt;V86),1,0)</f>
        <v>0</v>
      </c>
      <c r="X86" s="24">
        <v>6286.2</v>
      </c>
      <c r="Y86" s="24">
        <v>7568.9</v>
      </c>
      <c r="Z86" s="24">
        <v>5.47</v>
      </c>
      <c r="AA86" s="24">
        <v>7.67</v>
      </c>
      <c r="AB86" s="14">
        <f>IF(AND(X86&gt;Y86,Z86&gt;=AA86,X86&gt;0),1,0)</f>
        <v>0</v>
      </c>
      <c r="AC86" s="12" t="str">
        <f>IF(X86&gt;J86,"Yes","No")</f>
        <v>Yes</v>
      </c>
      <c r="AD86" s="14">
        <f>IF(X86&gt;J86,1,0)</f>
        <v>1</v>
      </c>
      <c r="AE86" s="16">
        <v>43307.9</v>
      </c>
      <c r="AF86" s="16">
        <v>42069.4</v>
      </c>
      <c r="AG86" s="17">
        <f>AE86/AF86</f>
        <v>1.0294394500515813</v>
      </c>
      <c r="AH86" s="16">
        <v>40272.199999999997</v>
      </c>
      <c r="AI86" s="16">
        <v>41720.400000000001</v>
      </c>
      <c r="AJ86" s="17">
        <f>AH86/AI86</f>
        <v>0.96528796464079913</v>
      </c>
      <c r="AK86" s="18">
        <f>IF(AG86&gt;=AJ86,1,0)</f>
        <v>1</v>
      </c>
      <c r="AL86" s="19">
        <v>0.23</v>
      </c>
      <c r="AM86" s="19">
        <v>0.38</v>
      </c>
      <c r="AN86" s="18">
        <f>IF(AL86&lt;=AM86,1,0)</f>
        <v>1</v>
      </c>
      <c r="AO86" s="19">
        <v>1.28</v>
      </c>
      <c r="AP86" s="19">
        <v>1.34</v>
      </c>
      <c r="AQ86" s="18">
        <f>IF(AO86&gt;AP86,1,0)</f>
        <v>0</v>
      </c>
      <c r="AR86" s="19">
        <v>9.24</v>
      </c>
      <c r="AS86" s="19">
        <v>9.39</v>
      </c>
      <c r="AT86" s="14">
        <f>IF(AR86&gt;=AS86,1,0)</f>
        <v>0</v>
      </c>
      <c r="AU86" s="20">
        <f>SUM(I86,N86,AB86,AD86,AK86,AN86,AQ86,AT86,F86,W86)</f>
        <v>5</v>
      </c>
    </row>
    <row r="87" spans="1:47" customFormat="1" ht="15.6" x14ac:dyDescent="0.3">
      <c r="A87" s="11">
        <v>86</v>
      </c>
      <c r="B87" s="22" t="s">
        <v>132</v>
      </c>
      <c r="C87" s="23">
        <v>101057.82</v>
      </c>
      <c r="D87" s="24">
        <v>78.17</v>
      </c>
      <c r="E87" s="24">
        <v>25.8</v>
      </c>
      <c r="F87" s="14">
        <f>IF(OR(D87&gt;=E87,D87=0),0,1)</f>
        <v>0</v>
      </c>
      <c r="G87" s="24">
        <v>24.87</v>
      </c>
      <c r="H87" s="24">
        <v>1.31</v>
      </c>
      <c r="I87" s="14">
        <f>IF(AND(H87&lt;=1,H87&gt;0),1,0)</f>
        <v>0</v>
      </c>
      <c r="J87" s="24">
        <v>1232.58</v>
      </c>
      <c r="K87" s="24">
        <v>374.92</v>
      </c>
      <c r="L87" s="24">
        <v>2.2400000000000002</v>
      </c>
      <c r="M87" s="24">
        <v>2.12</v>
      </c>
      <c r="N87" s="14">
        <f>IF(AND(J87&gt;K87,L87&gt;=M87),1,0)</f>
        <v>1</v>
      </c>
      <c r="O87" s="15">
        <v>225</v>
      </c>
      <c r="P87" s="15">
        <v>400.8</v>
      </c>
      <c r="Q87" s="15">
        <v>171.2</v>
      </c>
      <c r="R87" s="15">
        <v>389.9</v>
      </c>
      <c r="S87" s="15">
        <v>133.69999999999999</v>
      </c>
      <c r="T87" s="15">
        <v>95.2</v>
      </c>
      <c r="U87" s="15">
        <v>96.4</v>
      </c>
      <c r="V87" s="15">
        <v>107.3</v>
      </c>
      <c r="W87" s="14">
        <f>IF(AND(O87&gt;S87,P87&gt;T87,Q87&gt;U87,R87&gt;V87),1,0)</f>
        <v>1</v>
      </c>
      <c r="X87" s="24">
        <v>1149.75</v>
      </c>
      <c r="Y87" s="24">
        <v>584.30999999999995</v>
      </c>
      <c r="Z87" s="24">
        <v>2.37</v>
      </c>
      <c r="AA87" s="24">
        <v>3.3</v>
      </c>
      <c r="AB87" s="14">
        <f>IF(AND(X87&gt;Y87,Z87&gt;=AA87,X87&gt;0),1,0)</f>
        <v>0</v>
      </c>
      <c r="AC87" s="12" t="str">
        <f>IF(X87&gt;J87,"Yes","No")</f>
        <v>No</v>
      </c>
      <c r="AD87" s="14">
        <f>IF(X87&gt;J87,1,0)</f>
        <v>0</v>
      </c>
      <c r="AE87" s="26">
        <v>13094.4</v>
      </c>
      <c r="AF87" s="26">
        <v>12595.4</v>
      </c>
      <c r="AG87" s="17">
        <f>AE87/AF87</f>
        <v>1.0396176381853692</v>
      </c>
      <c r="AH87" s="26">
        <v>4836.3</v>
      </c>
      <c r="AI87" s="26">
        <v>4731.6000000000004</v>
      </c>
      <c r="AJ87" s="17">
        <f>AH87/AI87</f>
        <v>1.0221278214557443</v>
      </c>
      <c r="AK87" s="18">
        <f>IF(AG87&gt;=AJ87,1,0)</f>
        <v>1</v>
      </c>
      <c r="AL87" s="28">
        <v>0.02</v>
      </c>
      <c r="AM87" s="28">
        <v>7.0000000000000007E-2</v>
      </c>
      <c r="AN87" s="18">
        <f>IF(AL87&lt;=AM87,1,0)</f>
        <v>1</v>
      </c>
      <c r="AO87" s="28">
        <v>3.27</v>
      </c>
      <c r="AP87" s="28">
        <v>3.03</v>
      </c>
      <c r="AQ87" s="18">
        <f>IF(AO87&gt;AP87,1,0)</f>
        <v>1</v>
      </c>
      <c r="AR87" s="28">
        <v>3.88</v>
      </c>
      <c r="AS87" s="28">
        <v>3.94</v>
      </c>
      <c r="AT87" s="14">
        <f>IF(AR87&gt;=AS87,1,0)</f>
        <v>0</v>
      </c>
      <c r="AU87" s="20">
        <f>SUM(I87,N87,AB87,AD87,AK87,AN87,AQ87,AT87,F87,W87)</f>
        <v>5</v>
      </c>
    </row>
    <row r="88" spans="1:47" customFormat="1" ht="15.6" x14ac:dyDescent="0.3">
      <c r="A88" s="11">
        <v>87</v>
      </c>
      <c r="B88" s="22" t="s">
        <v>133</v>
      </c>
      <c r="C88" s="23">
        <v>93948.88</v>
      </c>
      <c r="D88" s="24">
        <v>65.66</v>
      </c>
      <c r="E88" s="24">
        <v>21.03</v>
      </c>
      <c r="F88" s="14">
        <f>IF(OR(D88&gt;=E88,D88=0),0,1)</f>
        <v>0</v>
      </c>
      <c r="G88" s="24">
        <v>7.44</v>
      </c>
      <c r="H88" s="24">
        <v>-5.12</v>
      </c>
      <c r="I88" s="14">
        <f>IF(AND(H88&lt;=1,H88&gt;0),1,0)</f>
        <v>0</v>
      </c>
      <c r="J88" s="24">
        <v>1250.78</v>
      </c>
      <c r="K88" s="24">
        <v>1335.71</v>
      </c>
      <c r="L88" s="24">
        <v>8.51</v>
      </c>
      <c r="M88" s="24">
        <v>10.14</v>
      </c>
      <c r="N88" s="14">
        <f>IF(AND(J88&gt;K88,L88&gt;=M88),1,0)</f>
        <v>0</v>
      </c>
      <c r="O88" s="15">
        <v>432.3</v>
      </c>
      <c r="P88" s="15">
        <v>526.1</v>
      </c>
      <c r="Q88" s="15">
        <v>271.10000000000002</v>
      </c>
      <c r="R88" s="15">
        <v>201.4</v>
      </c>
      <c r="S88" s="15">
        <v>252.2</v>
      </c>
      <c r="T88" s="15">
        <v>422.2</v>
      </c>
      <c r="U88" s="15">
        <v>253.4</v>
      </c>
      <c r="V88" s="15">
        <v>300.8</v>
      </c>
      <c r="W88" s="14">
        <f>IF(AND(O88&gt;S88,P88&gt;T88,Q88&gt;U88,R88&gt;V88),1,0)</f>
        <v>0</v>
      </c>
      <c r="X88" s="24">
        <v>2487.4899999999998</v>
      </c>
      <c r="Y88" s="24">
        <v>2093.86</v>
      </c>
      <c r="Z88" s="24">
        <v>16.53</v>
      </c>
      <c r="AA88" s="24">
        <v>15.94</v>
      </c>
      <c r="AB88" s="14">
        <f>IF(AND(X88&gt;Y88,Z88&gt;=AA88,X88&gt;0),1,0)</f>
        <v>1</v>
      </c>
      <c r="AC88" s="12" t="str">
        <f>IF(X88&gt;J88,"Yes","No")</f>
        <v>Yes</v>
      </c>
      <c r="AD88" s="14">
        <f>IF(X88&gt;J88,1,0)</f>
        <v>1</v>
      </c>
      <c r="AE88" s="26">
        <v>6129.6</v>
      </c>
      <c r="AF88" s="26">
        <v>5429.9</v>
      </c>
      <c r="AG88" s="17">
        <f>AE88/AF88</f>
        <v>1.128860568334592</v>
      </c>
      <c r="AH88" s="26">
        <v>5649.3</v>
      </c>
      <c r="AI88" s="26">
        <v>5480.8</v>
      </c>
      <c r="AJ88" s="17">
        <f>AH88/AI88</f>
        <v>1.0307436870529849</v>
      </c>
      <c r="AK88" s="18">
        <f>IF(AG88&gt;=AJ88,1,0)</f>
        <v>1</v>
      </c>
      <c r="AL88" s="28">
        <v>0.16</v>
      </c>
      <c r="AM88" s="28">
        <v>0.2</v>
      </c>
      <c r="AN88" s="18">
        <f>IF(AL88&lt;=AM88,1,0)</f>
        <v>1</v>
      </c>
      <c r="AO88" s="28">
        <v>0.7</v>
      </c>
      <c r="AP88" s="28">
        <v>0.67</v>
      </c>
      <c r="AQ88" s="18">
        <f>IF(AO88&gt;AP88,1,0)</f>
        <v>1</v>
      </c>
      <c r="AR88" s="28">
        <v>18.34</v>
      </c>
      <c r="AS88" s="28">
        <v>19.54</v>
      </c>
      <c r="AT88" s="14">
        <f>IF(AR88&gt;=AS88,1,0)</f>
        <v>0</v>
      </c>
      <c r="AU88" s="20">
        <f>SUM(I88,N88,AB88,AD88,AK88,AN88,AQ88,AT88,F88,W88)</f>
        <v>5</v>
      </c>
    </row>
    <row r="89" spans="1:47" customFormat="1" ht="15.6" x14ac:dyDescent="0.3">
      <c r="A89" s="11">
        <v>88</v>
      </c>
      <c r="B89" s="22" t="s">
        <v>134</v>
      </c>
      <c r="C89" s="23">
        <v>93555.36</v>
      </c>
      <c r="D89" s="24">
        <v>63.95</v>
      </c>
      <c r="E89" s="24">
        <v>25.8</v>
      </c>
      <c r="F89" s="14">
        <f>IF(OR(D89&gt;=E89,D89=0),0,1)</f>
        <v>0</v>
      </c>
      <c r="G89" s="24">
        <v>10.78</v>
      </c>
      <c r="H89" s="24">
        <v>8.6199999999999992</v>
      </c>
      <c r="I89" s="14">
        <f>IF(AND(H89&lt;=1,H89&gt;0),1,0)</f>
        <v>0</v>
      </c>
      <c r="J89" s="24">
        <v>1470.24</v>
      </c>
      <c r="K89" s="24">
        <v>1270.76</v>
      </c>
      <c r="L89" s="24">
        <v>6.8</v>
      </c>
      <c r="M89" s="24">
        <v>6.79</v>
      </c>
      <c r="N89" s="14">
        <f>IF(AND(J89&gt;K89,L89&gt;=M89),1,0)</f>
        <v>1</v>
      </c>
      <c r="O89" s="15">
        <v>347.7</v>
      </c>
      <c r="P89" s="15">
        <v>517.79999999999995</v>
      </c>
      <c r="Q89" s="15">
        <v>278.3</v>
      </c>
      <c r="R89" s="15">
        <v>268.2</v>
      </c>
      <c r="S89" s="15">
        <v>407.9</v>
      </c>
      <c r="T89" s="15">
        <v>446.7</v>
      </c>
      <c r="U89" s="15">
        <v>287.89999999999998</v>
      </c>
      <c r="V89" s="15">
        <v>249.1</v>
      </c>
      <c r="W89" s="14">
        <f>IF(AND(O89&gt;S89,P89&gt;T89,Q89&gt;U89,R89&gt;V89),1,0)</f>
        <v>0</v>
      </c>
      <c r="X89" s="24">
        <v>1515.29</v>
      </c>
      <c r="Y89" s="24">
        <v>1952.89</v>
      </c>
      <c r="Z89" s="24">
        <v>6.99</v>
      </c>
      <c r="AA89" s="24">
        <v>10.51</v>
      </c>
      <c r="AB89" s="14">
        <f>IF(AND(X89&gt;Y89,Z89&gt;=AA89,X89&gt;0),1,0)</f>
        <v>0</v>
      </c>
      <c r="AC89" s="12" t="str">
        <f>IF(X89&gt;J89,"Yes","No")</f>
        <v>Yes</v>
      </c>
      <c r="AD89" s="14">
        <f>IF(X89&gt;J89,1,0)</f>
        <v>1</v>
      </c>
      <c r="AE89" s="26">
        <v>8870.5</v>
      </c>
      <c r="AF89" s="26">
        <v>4774.8</v>
      </c>
      <c r="AG89" s="17">
        <f>AE89/AF89</f>
        <v>1.8577741476082767</v>
      </c>
      <c r="AH89" s="26">
        <v>7899.6</v>
      </c>
      <c r="AI89" s="26">
        <v>4283.1000000000004</v>
      </c>
      <c r="AJ89" s="17">
        <f>AH89/AI89</f>
        <v>1.8443650626882397</v>
      </c>
      <c r="AK89" s="18">
        <f>IF(AG89&gt;=AJ89,1,0)</f>
        <v>1</v>
      </c>
      <c r="AL89" s="28">
        <v>0</v>
      </c>
      <c r="AM89" s="28">
        <v>0</v>
      </c>
      <c r="AN89" s="18">
        <f>IF(AL89&lt;=AM89,1,0)</f>
        <v>1</v>
      </c>
      <c r="AO89" s="28">
        <v>1.66</v>
      </c>
      <c r="AP89" s="28">
        <v>1.58</v>
      </c>
      <c r="AQ89" s="18">
        <f>IF(AO89&gt;AP89,1,0)</f>
        <v>1</v>
      </c>
      <c r="AR89" s="28">
        <v>9.65</v>
      </c>
      <c r="AS89" s="28">
        <v>9.7799999999999994</v>
      </c>
      <c r="AT89" s="14">
        <f>IF(AR89&gt;=AS89,1,0)</f>
        <v>0</v>
      </c>
      <c r="AU89" s="20">
        <f>SUM(I89,N89,AB89,AD89,AK89,AN89,AQ89,AT89,F89,W89)</f>
        <v>5</v>
      </c>
    </row>
    <row r="90" spans="1:47" customFormat="1" ht="15.6" x14ac:dyDescent="0.3">
      <c r="A90" s="11">
        <v>89</v>
      </c>
      <c r="B90" s="22" t="s">
        <v>135</v>
      </c>
      <c r="C90" s="23">
        <v>91180.74</v>
      </c>
      <c r="D90" s="24">
        <v>40.28</v>
      </c>
      <c r="E90" s="24">
        <v>19.28</v>
      </c>
      <c r="F90" s="14">
        <f>IF(OR(D90&gt;=E90,D90=0),0,1)</f>
        <v>0</v>
      </c>
      <c r="G90" s="24">
        <v>4.57</v>
      </c>
      <c r="H90" s="24">
        <v>0.89</v>
      </c>
      <c r="I90" s="14">
        <f>IF(AND(H90&lt;=1,H90&gt;0),1,0)</f>
        <v>1</v>
      </c>
      <c r="J90" s="24">
        <v>2162.9</v>
      </c>
      <c r="K90" s="24">
        <v>1731.22</v>
      </c>
      <c r="L90" s="24">
        <v>22.61</v>
      </c>
      <c r="M90" s="24">
        <v>22.74</v>
      </c>
      <c r="N90" s="14">
        <f>IF(AND(J90&gt;K90,L90&gt;=M90),1,0)</f>
        <v>0</v>
      </c>
      <c r="O90" s="15">
        <v>586.70000000000005</v>
      </c>
      <c r="P90" s="15">
        <v>548</v>
      </c>
      <c r="Q90" s="15">
        <v>545.6</v>
      </c>
      <c r="R90" s="15">
        <v>482.6</v>
      </c>
      <c r="S90" s="15">
        <v>381.3</v>
      </c>
      <c r="T90" s="15">
        <v>437</v>
      </c>
      <c r="U90" s="15">
        <v>451.1</v>
      </c>
      <c r="V90" s="15">
        <v>461.8</v>
      </c>
      <c r="W90" s="14">
        <f>IF(AND(O90&gt;S90,P90&gt;T90,Q90&gt;U90,R90&gt;V90),1,0)</f>
        <v>1</v>
      </c>
      <c r="X90" s="24">
        <v>-17074.87</v>
      </c>
      <c r="Y90" s="24">
        <v>-15428.11</v>
      </c>
      <c r="Z90" s="24">
        <v>-171.04</v>
      </c>
      <c r="AA90" s="24">
        <v>-202.54</v>
      </c>
      <c r="AB90" s="14">
        <f>IF(AND(X90&gt;Y90,Z90&gt;=AA90,X90&gt;0),1,0)</f>
        <v>0</v>
      </c>
      <c r="AC90" s="12" t="str">
        <f>IF(X90&gt;J90,"Yes","No")</f>
        <v>No</v>
      </c>
      <c r="AD90" s="14">
        <f>IF(X90&gt;J90,1,0)</f>
        <v>0</v>
      </c>
      <c r="AE90" s="26">
        <v>102534.5</v>
      </c>
      <c r="AF90" s="26">
        <v>82742.2</v>
      </c>
      <c r="AG90" s="17">
        <f>AE90/AF90</f>
        <v>1.2392044204770964</v>
      </c>
      <c r="AH90" s="26">
        <v>81612.399999999994</v>
      </c>
      <c r="AI90" s="26">
        <v>69504.7</v>
      </c>
      <c r="AJ90" s="17">
        <f>AH90/AI90</f>
        <v>1.1741997303779457</v>
      </c>
      <c r="AK90" s="18">
        <f>IF(AG90&gt;=AJ90,1,0)</f>
        <v>1</v>
      </c>
      <c r="AL90" s="28">
        <v>0</v>
      </c>
      <c r="AM90" s="28">
        <v>0</v>
      </c>
      <c r="AN90" s="18">
        <f>IF(AL90&lt;=AM90,1,0)</f>
        <v>1</v>
      </c>
      <c r="AO90" s="28">
        <v>0.1</v>
      </c>
      <c r="AP90" s="28">
        <v>0.1</v>
      </c>
      <c r="AQ90" s="18">
        <f>IF(AO90&gt;AP90,1,0)</f>
        <v>0</v>
      </c>
      <c r="AR90" s="28">
        <v>91.8</v>
      </c>
      <c r="AS90" s="28">
        <v>90.49</v>
      </c>
      <c r="AT90" s="14">
        <f>IF(AR90&gt;=AS90,1,0)</f>
        <v>1</v>
      </c>
      <c r="AU90" s="20">
        <f>SUM(I90,N90,AB90,AD90,AK90,AN90,AQ90,AT90,F90,W90)</f>
        <v>5</v>
      </c>
    </row>
    <row r="91" spans="1:47" customFormat="1" ht="15.6" x14ac:dyDescent="0.3">
      <c r="A91" s="11">
        <v>90</v>
      </c>
      <c r="B91" s="22" t="s">
        <v>136</v>
      </c>
      <c r="C91" s="23">
        <v>86193.06</v>
      </c>
      <c r="D91" s="24">
        <v>65.95</v>
      </c>
      <c r="E91" s="24">
        <v>79.63</v>
      </c>
      <c r="F91" s="14">
        <f>IF(OR(D91&gt;=E91,D91=0),0,1)</f>
        <v>1</v>
      </c>
      <c r="G91" s="24">
        <v>6.78</v>
      </c>
      <c r="H91" s="24">
        <v>4.12</v>
      </c>
      <c r="I91" s="14">
        <f>IF(AND(H91&lt;=1,H91&gt;0),1,0)</f>
        <v>0</v>
      </c>
      <c r="J91" s="24">
        <v>1185.52</v>
      </c>
      <c r="K91" s="24">
        <v>850.66</v>
      </c>
      <c r="L91" s="24">
        <v>1.67</v>
      </c>
      <c r="M91" s="24">
        <v>0.95</v>
      </c>
      <c r="N91" s="14">
        <f>IF(AND(J91&gt;K91,L91&gt;=M91),1,0)</f>
        <v>1</v>
      </c>
      <c r="O91" s="15">
        <v>301</v>
      </c>
      <c r="P91" s="15">
        <v>385.3</v>
      </c>
      <c r="Q91" s="15">
        <v>324.89999999999998</v>
      </c>
      <c r="R91" s="15">
        <v>251</v>
      </c>
      <c r="S91" s="15">
        <v>224.3</v>
      </c>
      <c r="T91" s="15">
        <v>173.7</v>
      </c>
      <c r="U91" s="15">
        <v>226.9</v>
      </c>
      <c r="V91" s="15">
        <v>243.9</v>
      </c>
      <c r="W91" s="14">
        <f>IF(AND(O91&gt;S91,P91&gt;T91,Q91&gt;U91,R91&gt;V91),1,0)</f>
        <v>1</v>
      </c>
      <c r="X91" s="24">
        <v>-9412.84</v>
      </c>
      <c r="Y91" s="24">
        <v>-7315.05</v>
      </c>
      <c r="Z91" s="24">
        <v>-16.350000000000001</v>
      </c>
      <c r="AA91" s="24">
        <v>-8.16</v>
      </c>
      <c r="AB91" s="14">
        <f>IF(AND(X91&gt;Y91,Z91&gt;=AA91,X91&gt;0),1,0)</f>
        <v>0</v>
      </c>
      <c r="AC91" s="12" t="str">
        <f>IF(X91&gt;J91,"Yes","No")</f>
        <v>No</v>
      </c>
      <c r="AD91" s="14">
        <f>IF(X91&gt;J91,1,0)</f>
        <v>0</v>
      </c>
      <c r="AE91" s="26">
        <v>6990.2</v>
      </c>
      <c r="AF91" s="26">
        <v>5399.1</v>
      </c>
      <c r="AG91" s="17">
        <f>AE91/AF91</f>
        <v>1.2946972643588746</v>
      </c>
      <c r="AH91" s="26">
        <v>6791.4</v>
      </c>
      <c r="AI91" s="26">
        <v>5477.7</v>
      </c>
      <c r="AJ91" s="17">
        <f>AH91/AI91</f>
        <v>1.2398269346623583</v>
      </c>
      <c r="AK91" s="18">
        <f>IF(AG91&gt;=AJ91,1,0)</f>
        <v>1</v>
      </c>
      <c r="AL91" s="28">
        <v>0.22</v>
      </c>
      <c r="AM91" s="28">
        <v>0.11</v>
      </c>
      <c r="AN91" s="18">
        <f>IF(AL91&lt;=AM91,1,0)</f>
        <v>0</v>
      </c>
      <c r="AO91" s="28">
        <v>0.23</v>
      </c>
      <c r="AP91" s="28">
        <v>0.32</v>
      </c>
      <c r="AQ91" s="18">
        <f>IF(AO91&gt;AP91,1,0)</f>
        <v>0</v>
      </c>
      <c r="AR91" s="28">
        <v>1.81</v>
      </c>
      <c r="AS91" s="28">
        <v>-1.25</v>
      </c>
      <c r="AT91" s="14">
        <f>IF(AR91&gt;=AS91,1,0)</f>
        <v>1</v>
      </c>
      <c r="AU91" s="20">
        <f>SUM(I91,N91,AB91,AD91,AK91,AN91,AQ91,AT91,F91,W91)</f>
        <v>5</v>
      </c>
    </row>
    <row r="92" spans="1:47" customFormat="1" ht="15.6" x14ac:dyDescent="0.3">
      <c r="A92" s="11">
        <v>91</v>
      </c>
      <c r="B92" s="22" t="s">
        <v>137</v>
      </c>
      <c r="C92" s="23">
        <v>84271.72</v>
      </c>
      <c r="D92" s="24">
        <v>151.19999999999999</v>
      </c>
      <c r="E92" s="24">
        <v>28.52</v>
      </c>
      <c r="F92" s="14">
        <f>IF(OR(D92&gt;=E92,D92=0),0,1)</f>
        <v>0</v>
      </c>
      <c r="G92" s="24">
        <v>4.57</v>
      </c>
      <c r="H92" s="24"/>
      <c r="I92" s="14">
        <f>IF(AND(H92&lt;=1,H92&gt;0),1,0)</f>
        <v>0</v>
      </c>
      <c r="J92" s="24">
        <v>474.12</v>
      </c>
      <c r="K92" s="24">
        <v>342.86</v>
      </c>
      <c r="L92" s="24">
        <v>21.46</v>
      </c>
      <c r="M92" s="24">
        <v>17.47</v>
      </c>
      <c r="N92" s="14">
        <f>IF(AND(J92&gt;K92,L92&gt;=M92),1,0)</f>
        <v>1</v>
      </c>
      <c r="O92" s="15">
        <v>220.5</v>
      </c>
      <c r="P92" s="15">
        <v>233.2</v>
      </c>
      <c r="Q92" s="15">
        <v>65.599999999999994</v>
      </c>
      <c r="R92" s="15">
        <v>36.700000000000003</v>
      </c>
      <c r="S92" s="15">
        <v>138.6</v>
      </c>
      <c r="T92" s="15">
        <v>81</v>
      </c>
      <c r="U92" s="15">
        <v>55.6</v>
      </c>
      <c r="V92" s="15" t="s">
        <v>76</v>
      </c>
      <c r="W92" s="14">
        <f>IF(AND(O92&gt;S92,P92&gt;T92,Q92&gt;U92,R92&gt;V92),1,0)</f>
        <v>0</v>
      </c>
      <c r="X92" s="24">
        <v>1998.92</v>
      </c>
      <c r="Y92" s="24">
        <v>1616.16</v>
      </c>
      <c r="Z92" s="24">
        <v>86.48</v>
      </c>
      <c r="AA92" s="24">
        <v>82.35</v>
      </c>
      <c r="AB92" s="14">
        <f>IF(AND(X92&gt;Y92,Z92&gt;=AA92,X92&gt;0),1,0)</f>
        <v>1</v>
      </c>
      <c r="AC92" s="12" t="str">
        <f>IF(X92&gt;J92,"Yes","No")</f>
        <v>Yes</v>
      </c>
      <c r="AD92" s="14">
        <f>IF(X92&gt;J92,1,0)</f>
        <v>1</v>
      </c>
      <c r="AE92" s="26">
        <v>4304.7</v>
      </c>
      <c r="AF92" s="26">
        <v>4672.8</v>
      </c>
      <c r="AG92" s="17">
        <f>AE92/AF92</f>
        <v>0.92122496147919875</v>
      </c>
      <c r="AH92" s="26">
        <v>1253.8</v>
      </c>
      <c r="AI92" s="26">
        <v>4667.1000000000004</v>
      </c>
      <c r="AJ92" s="17">
        <f>AH92/AI92</f>
        <v>0.26864648282659465</v>
      </c>
      <c r="AK92" s="18">
        <f>IF(AG92&gt;=AJ92,1,0)</f>
        <v>1</v>
      </c>
      <c r="AL92" s="28">
        <v>0.94</v>
      </c>
      <c r="AM92" s="28">
        <v>1.95</v>
      </c>
      <c r="AN92" s="18">
        <f>IF(AL92&lt;=AM92,1,0)</f>
        <v>1</v>
      </c>
      <c r="AO92" s="28">
        <v>0.06</v>
      </c>
      <c r="AP92" s="28">
        <v>0.09</v>
      </c>
      <c r="AQ92" s="18">
        <f>IF(AO92&gt;AP92,1,0)</f>
        <v>0</v>
      </c>
      <c r="AR92" s="28">
        <v>77.739999999999995</v>
      </c>
      <c r="AS92" s="28">
        <v>85.71</v>
      </c>
      <c r="AT92" s="14">
        <f>IF(AR92&gt;=AS92,1,0)</f>
        <v>0</v>
      </c>
      <c r="AU92" s="20">
        <f>SUM(I92,N92,AB92,AD92,AK92,AN92,AQ92,AT92,F92,W92)</f>
        <v>5</v>
      </c>
    </row>
    <row r="93" spans="1:47" customFormat="1" ht="15.6" x14ac:dyDescent="0.3">
      <c r="A93" s="11">
        <v>92</v>
      </c>
      <c r="B93" s="22" t="s">
        <v>138</v>
      </c>
      <c r="C93" s="23">
        <v>76334.37</v>
      </c>
      <c r="D93" s="24">
        <v>32.17</v>
      </c>
      <c r="E93" s="24">
        <v>35.92</v>
      </c>
      <c r="F93" s="14">
        <f>IF(OR(D93&gt;=E93,D93=0),0,1)</f>
        <v>1</v>
      </c>
      <c r="G93" s="24">
        <v>10.36</v>
      </c>
      <c r="H93" s="24">
        <v>4.0199999999999996</v>
      </c>
      <c r="I93" s="14">
        <f>IF(AND(H93&lt;=1,H93&gt;0),1,0)</f>
        <v>0</v>
      </c>
      <c r="J93" s="24">
        <v>2379.6</v>
      </c>
      <c r="K93" s="24">
        <v>2219.4</v>
      </c>
      <c r="L93" s="24">
        <v>34.75</v>
      </c>
      <c r="M93" s="24">
        <v>34.83</v>
      </c>
      <c r="N93" s="14">
        <f>IF(AND(J93&gt;K93,L93&gt;=M93),1,0)</f>
        <v>0</v>
      </c>
      <c r="O93" s="15">
        <v>641.9</v>
      </c>
      <c r="P93" s="15">
        <v>643.9</v>
      </c>
      <c r="Q93" s="15">
        <v>541.29999999999995</v>
      </c>
      <c r="R93" s="15">
        <v>577.70000000000005</v>
      </c>
      <c r="S93" s="15">
        <v>616.70000000000005</v>
      </c>
      <c r="T93" s="15">
        <v>560.1</v>
      </c>
      <c r="U93" s="15">
        <v>740.8</v>
      </c>
      <c r="V93" s="15">
        <v>417.5</v>
      </c>
      <c r="W93" s="14">
        <f>IF(AND(O93&gt;S93,P93&gt;T93,Q93&gt;U93,R93&gt;V93),1,0)</f>
        <v>0</v>
      </c>
      <c r="X93" s="24">
        <v>2198.9</v>
      </c>
      <c r="Y93" s="24">
        <v>1790.7</v>
      </c>
      <c r="Z93" s="24">
        <v>31.09</v>
      </c>
      <c r="AA93" s="24">
        <v>28.1</v>
      </c>
      <c r="AB93" s="14">
        <f>IF(AND(X93&gt;Y93,Z93&gt;=AA93,X93&gt;0),1,0)</f>
        <v>1</v>
      </c>
      <c r="AC93" s="12" t="str">
        <f>IF(X93&gt;J93,"Yes","No")</f>
        <v>No</v>
      </c>
      <c r="AD93" s="14">
        <f>IF(X93&gt;J93,1,0)</f>
        <v>0</v>
      </c>
      <c r="AE93" s="27">
        <v>7581</v>
      </c>
      <c r="AF93" s="26">
        <v>4318.6000000000004</v>
      </c>
      <c r="AG93" s="17">
        <f>AE93/AF93</f>
        <v>1.7554300004631129</v>
      </c>
      <c r="AH93" s="26">
        <v>3828.8</v>
      </c>
      <c r="AI93" s="26">
        <v>3291.2</v>
      </c>
      <c r="AJ93" s="17">
        <f>AH93/AI93</f>
        <v>1.1633446767136608</v>
      </c>
      <c r="AK93" s="18">
        <f>IF(AG93&gt;=AJ93,1,0)</f>
        <v>1</v>
      </c>
      <c r="AL93" s="28">
        <v>0</v>
      </c>
      <c r="AM93" s="28">
        <v>0</v>
      </c>
      <c r="AN93" s="18">
        <f>IF(AL93&lt;=AM93,1,0)</f>
        <v>1</v>
      </c>
      <c r="AO93" s="28">
        <v>0.96</v>
      </c>
      <c r="AP93" s="28">
        <v>1.21</v>
      </c>
      <c r="AQ93" s="18">
        <f>IF(AO93&gt;AP93,1,0)</f>
        <v>0</v>
      </c>
      <c r="AR93" s="28">
        <v>9.25</v>
      </c>
      <c r="AS93" s="28">
        <v>6.65</v>
      </c>
      <c r="AT93" s="14">
        <f>IF(AR93&gt;=AS93,1,0)</f>
        <v>1</v>
      </c>
      <c r="AU93" s="20">
        <f>SUM(I93,N93,AB93,AD93,AK93,AN93,AQ93,AT93,F93,W93)</f>
        <v>5</v>
      </c>
    </row>
    <row r="94" spans="1:47" customFormat="1" ht="15.6" x14ac:dyDescent="0.3">
      <c r="A94" s="11">
        <v>93</v>
      </c>
      <c r="B94" s="22" t="s">
        <v>139</v>
      </c>
      <c r="C94" s="23">
        <v>66735.199999999997</v>
      </c>
      <c r="D94" s="24">
        <v>29.35</v>
      </c>
      <c r="E94" s="24">
        <v>32.840000000000003</v>
      </c>
      <c r="F94" s="14">
        <f>IF(OR(D94&gt;=E94,D94=0),0,1)</f>
        <v>1</v>
      </c>
      <c r="G94" s="24">
        <v>5.57</v>
      </c>
      <c r="H94" s="24">
        <v>3.16</v>
      </c>
      <c r="I94" s="14">
        <f>IF(AND(H94&lt;=1,H94&gt;0),1,0)</f>
        <v>0</v>
      </c>
      <c r="J94" s="24">
        <v>2215.38</v>
      </c>
      <c r="K94" s="24">
        <v>1811.46</v>
      </c>
      <c r="L94" s="24">
        <v>17.059999999999999</v>
      </c>
      <c r="M94" s="24">
        <v>15.08</v>
      </c>
      <c r="N94" s="14">
        <f>IF(AND(J94&gt;K94,L94&gt;=M94),1,0)</f>
        <v>1</v>
      </c>
      <c r="O94" s="15">
        <v>305.89999999999998</v>
      </c>
      <c r="P94" s="15">
        <v>625.79999999999995</v>
      </c>
      <c r="Q94" s="15">
        <v>688.6</v>
      </c>
      <c r="R94" s="15">
        <v>545.20000000000005</v>
      </c>
      <c r="S94" s="15">
        <v>293.60000000000002</v>
      </c>
      <c r="T94" s="15">
        <v>595</v>
      </c>
      <c r="U94" s="15">
        <v>620.5</v>
      </c>
      <c r="V94" s="15">
        <v>286.7</v>
      </c>
      <c r="W94" s="14">
        <f>IF(AND(O94&gt;S94,P94&gt;T94,Q94&gt;U94,R94&gt;V94),1,0)</f>
        <v>1</v>
      </c>
      <c r="X94" s="24">
        <v>1912.84</v>
      </c>
      <c r="Y94" s="24">
        <v>1948.07</v>
      </c>
      <c r="Z94" s="24">
        <v>14.38</v>
      </c>
      <c r="AA94" s="24">
        <v>15.38</v>
      </c>
      <c r="AB94" s="14">
        <f>IF(AND(X94&gt;Y94,Z94&gt;=AA94,X94&gt;0),1,0)</f>
        <v>0</v>
      </c>
      <c r="AC94" s="12" t="str">
        <f>IF(X94&gt;J94,"Yes","No")</f>
        <v>No</v>
      </c>
      <c r="AD94" s="14">
        <f>IF(X94&gt;J94,1,0)</f>
        <v>0</v>
      </c>
      <c r="AE94" s="26">
        <v>10945.8</v>
      </c>
      <c r="AF94" s="27">
        <v>3965</v>
      </c>
      <c r="AG94" s="17">
        <f>AE94/AF94</f>
        <v>2.7606052963430012</v>
      </c>
      <c r="AH94" s="26">
        <v>10411.6</v>
      </c>
      <c r="AI94" s="26">
        <v>3994.6</v>
      </c>
      <c r="AJ94" s="17">
        <f>AH94/AI94</f>
        <v>2.6064186651980177</v>
      </c>
      <c r="AK94" s="18">
        <f>IF(AG94&gt;=AJ94,1,0)</f>
        <v>1</v>
      </c>
      <c r="AL94" s="28">
        <v>0.03</v>
      </c>
      <c r="AM94" s="28">
        <v>0</v>
      </c>
      <c r="AN94" s="18">
        <f>IF(AL94&lt;=AM94,1,0)</f>
        <v>0</v>
      </c>
      <c r="AO94" s="28">
        <v>0.78</v>
      </c>
      <c r="AP94" s="28">
        <v>0.86</v>
      </c>
      <c r="AQ94" s="18">
        <f>IF(AO94&gt;AP94,1,0)</f>
        <v>0</v>
      </c>
      <c r="AR94" s="28">
        <v>18.670000000000002</v>
      </c>
      <c r="AS94" s="28">
        <v>17.3</v>
      </c>
      <c r="AT94" s="14">
        <f>IF(AR94&gt;=AS94,1,0)</f>
        <v>1</v>
      </c>
      <c r="AU94" s="20">
        <f>SUM(I94,N94,AB94,AD94,AK94,AN94,AQ94,AT94,F94,W94)</f>
        <v>5</v>
      </c>
    </row>
    <row r="95" spans="1:47" customFormat="1" ht="15.6" x14ac:dyDescent="0.3">
      <c r="A95" s="11">
        <v>94</v>
      </c>
      <c r="B95" s="22" t="s">
        <v>141</v>
      </c>
      <c r="C95" s="23">
        <v>64511.839999999997</v>
      </c>
      <c r="D95" s="24">
        <v>19.02</v>
      </c>
      <c r="E95" s="24">
        <v>32.840000000000003</v>
      </c>
      <c r="F95" s="14">
        <f>IF(OR(D95&gt;=E95,D95=0),0,1)</f>
        <v>1</v>
      </c>
      <c r="G95" s="24">
        <v>1.98</v>
      </c>
      <c r="H95" s="24">
        <v>2.41</v>
      </c>
      <c r="I95" s="14">
        <f>IF(AND(H95&lt;=1,H95&gt;0),1,0)</f>
        <v>0</v>
      </c>
      <c r="J95" s="24">
        <v>3483.57</v>
      </c>
      <c r="K95" s="24">
        <v>3168.97</v>
      </c>
      <c r="L95" s="24">
        <v>10.91</v>
      </c>
      <c r="M95" s="24">
        <v>11.27</v>
      </c>
      <c r="N95" s="14">
        <f>IF(AND(J95&gt;K95,L95&gt;=M95),1,0)</f>
        <v>0</v>
      </c>
      <c r="O95" s="15">
        <v>903.5</v>
      </c>
      <c r="P95" s="15">
        <v>845.8</v>
      </c>
      <c r="Q95" s="15">
        <v>817.4</v>
      </c>
      <c r="R95" s="15">
        <v>919.2</v>
      </c>
      <c r="S95" s="15">
        <v>908.8</v>
      </c>
      <c r="T95" s="15">
        <v>936.3</v>
      </c>
      <c r="U95" s="15">
        <v>757.2</v>
      </c>
      <c r="V95" s="15">
        <v>570.79999999999995</v>
      </c>
      <c r="W95" s="14">
        <f>IF(AND(O95&gt;S95,P95&gt;T95,Q95&gt;U95,R95&gt;V95),1,0)</f>
        <v>0</v>
      </c>
      <c r="X95" s="24">
        <v>3924.62</v>
      </c>
      <c r="Y95" s="24">
        <v>2434.52</v>
      </c>
      <c r="Z95" s="24">
        <v>12.25</v>
      </c>
      <c r="AA95" s="24">
        <v>8.39</v>
      </c>
      <c r="AB95" s="14">
        <f>IF(AND(X95&gt;Y95,Z95&gt;=AA95,X95&gt;0),1,0)</f>
        <v>1</v>
      </c>
      <c r="AC95" s="12" t="str">
        <f>IF(X95&gt;J95,"Yes","No")</f>
        <v>Yes</v>
      </c>
      <c r="AD95" s="14">
        <f>IF(X95&gt;J95,1,0)</f>
        <v>1</v>
      </c>
      <c r="AE95" s="26">
        <v>27162.5</v>
      </c>
      <c r="AF95" s="26">
        <v>14682.3</v>
      </c>
      <c r="AG95" s="17">
        <f>AE95/AF95</f>
        <v>1.8500166867588868</v>
      </c>
      <c r="AH95" s="26">
        <v>24205.599999999999</v>
      </c>
      <c r="AI95" s="26">
        <v>12199.1</v>
      </c>
      <c r="AJ95" s="17">
        <f>AH95/AI95</f>
        <v>1.9842119500618896</v>
      </c>
      <c r="AK95" s="18">
        <f>IF(AG95&gt;=AJ95,1,0)</f>
        <v>0</v>
      </c>
      <c r="AL95" s="28">
        <v>0.05</v>
      </c>
      <c r="AM95" s="28">
        <v>7.0000000000000007E-2</v>
      </c>
      <c r="AN95" s="18">
        <f>IF(AL95&lt;=AM95,1,0)</f>
        <v>1</v>
      </c>
      <c r="AO95" s="28">
        <v>0.67</v>
      </c>
      <c r="AP95" s="28">
        <v>0.68</v>
      </c>
      <c r="AQ95" s="18">
        <f>IF(AO95&gt;AP95,1,0)</f>
        <v>0</v>
      </c>
      <c r="AR95" s="28">
        <v>20.350000000000001</v>
      </c>
      <c r="AS95" s="28">
        <v>19.77</v>
      </c>
      <c r="AT95" s="14">
        <f>IF(AR95&gt;=AS95,1,0)</f>
        <v>1</v>
      </c>
      <c r="AU95" s="20">
        <f>SUM(I95,N95,AB95,AD95,AK95,AN95,AQ95,AT95,F95,W95)</f>
        <v>5</v>
      </c>
    </row>
    <row r="96" spans="1:47" customFormat="1" ht="15.6" x14ac:dyDescent="0.3">
      <c r="A96" s="11">
        <v>95</v>
      </c>
      <c r="B96" s="22" t="s">
        <v>142</v>
      </c>
      <c r="C96" s="23">
        <v>63335.63</v>
      </c>
      <c r="D96" s="24">
        <v>43.61</v>
      </c>
      <c r="E96" s="24">
        <v>32.840000000000003</v>
      </c>
      <c r="F96" s="14">
        <f>IF(OR(D96&gt;=E96,D96=0),0,1)</f>
        <v>0</v>
      </c>
      <c r="G96" s="24">
        <v>14.96</v>
      </c>
      <c r="H96" s="24">
        <v>2.08</v>
      </c>
      <c r="I96" s="14">
        <f>IF(AND(H96&lt;=1,H96&gt;0),1,0)</f>
        <v>0</v>
      </c>
      <c r="J96" s="24">
        <v>1414.44</v>
      </c>
      <c r="K96" s="24">
        <v>1201.22</v>
      </c>
      <c r="L96" s="24">
        <v>22.08</v>
      </c>
      <c r="M96" s="24">
        <v>20.54</v>
      </c>
      <c r="N96" s="14">
        <f>IF(AND(J96&gt;K96,L96&gt;=M96),1,0)</f>
        <v>1</v>
      </c>
      <c r="O96" s="15">
        <v>367</v>
      </c>
      <c r="P96" s="15">
        <v>360.8</v>
      </c>
      <c r="Q96" s="15">
        <v>358.6</v>
      </c>
      <c r="R96" s="15">
        <v>328</v>
      </c>
      <c r="S96" s="15">
        <v>287.10000000000002</v>
      </c>
      <c r="T96" s="15">
        <v>311</v>
      </c>
      <c r="U96" s="15">
        <v>312.89999999999998</v>
      </c>
      <c r="V96" s="15">
        <v>290.2</v>
      </c>
      <c r="W96" s="14">
        <f>IF(AND(O96&gt;S96,P96&gt;T96,Q96&gt;U96,R96&gt;V96),1,0)</f>
        <v>1</v>
      </c>
      <c r="X96" s="24">
        <v>1011.84</v>
      </c>
      <c r="Y96" s="24">
        <v>1212.81</v>
      </c>
      <c r="Z96" s="24">
        <v>15.35</v>
      </c>
      <c r="AA96" s="24">
        <v>20.74</v>
      </c>
      <c r="AB96" s="14">
        <f>IF(AND(X96&gt;Y96,Z96&gt;=AA96,X96&gt;0),1,0)</f>
        <v>0</v>
      </c>
      <c r="AC96" s="12" t="str">
        <f>IF(X96&gt;J96,"Yes","No")</f>
        <v>No</v>
      </c>
      <c r="AD96" s="14">
        <f>IF(X96&gt;J96,1,0)</f>
        <v>0</v>
      </c>
      <c r="AE96" s="26">
        <v>4765.1000000000004</v>
      </c>
      <c r="AF96" s="26">
        <v>1407.2</v>
      </c>
      <c r="AG96" s="17">
        <f>AE96/AF96</f>
        <v>3.3862279704377487</v>
      </c>
      <c r="AH96" s="26">
        <v>3245.8</v>
      </c>
      <c r="AI96" s="26">
        <v>1342.7</v>
      </c>
      <c r="AJ96" s="17">
        <f>AH96/AI96</f>
        <v>2.4173679898711553</v>
      </c>
      <c r="AK96" s="18">
        <f>IF(AG96&gt;=AJ96,1,0)</f>
        <v>1</v>
      </c>
      <c r="AL96" s="28">
        <v>0</v>
      </c>
      <c r="AM96" s="28">
        <v>0</v>
      </c>
      <c r="AN96" s="18">
        <f>IF(AL96&lt;=AM96,1,0)</f>
        <v>1</v>
      </c>
      <c r="AO96" s="28">
        <v>1.1499999999999999</v>
      </c>
      <c r="AP96" s="28">
        <v>1.2</v>
      </c>
      <c r="AQ96" s="18">
        <f>IF(AO96&gt;AP96,1,0)</f>
        <v>0</v>
      </c>
      <c r="AR96" s="28">
        <v>25.35</v>
      </c>
      <c r="AS96" s="28">
        <v>23.83</v>
      </c>
      <c r="AT96" s="14">
        <f>IF(AR96&gt;=AS96,1,0)</f>
        <v>1</v>
      </c>
      <c r="AU96" s="20">
        <f>SUM(I96,N96,AB96,AD96,AK96,AN96,AQ96,AT96,F96,W96)</f>
        <v>5</v>
      </c>
    </row>
    <row r="97" spans="1:47" customFormat="1" ht="15.6" x14ac:dyDescent="0.3">
      <c r="A97" s="11">
        <v>96</v>
      </c>
      <c r="B97" s="22" t="s">
        <v>143</v>
      </c>
      <c r="C97" s="23">
        <v>62428.86</v>
      </c>
      <c r="D97" s="24">
        <v>44.8</v>
      </c>
      <c r="E97" s="24">
        <v>53.28</v>
      </c>
      <c r="F97" s="14">
        <f>IF(OR(D97&gt;=E97,D97=0),0,1)</f>
        <v>1</v>
      </c>
      <c r="G97" s="24">
        <v>37.51</v>
      </c>
      <c r="H97" s="24">
        <v>4.47</v>
      </c>
      <c r="I97" s="14">
        <f>IF(AND(H97&lt;=1,H97&gt;0),1,0)</f>
        <v>0</v>
      </c>
      <c r="J97" s="24">
        <v>1436.81</v>
      </c>
      <c r="K97" s="24">
        <v>1323.66</v>
      </c>
      <c r="L97" s="24">
        <v>23.78</v>
      </c>
      <c r="M97" s="24">
        <v>23.55</v>
      </c>
      <c r="N97" s="14">
        <f>IF(AND(J97&gt;K97,L97&gt;=M97),1,0)</f>
        <v>1</v>
      </c>
      <c r="O97" s="15">
        <v>320.60000000000002</v>
      </c>
      <c r="P97" s="15">
        <v>355</v>
      </c>
      <c r="Q97" s="15">
        <v>322.8</v>
      </c>
      <c r="R97" s="15">
        <v>395.1</v>
      </c>
      <c r="S97" s="15">
        <v>364</v>
      </c>
      <c r="T97" s="15">
        <v>379.8</v>
      </c>
      <c r="U97" s="15">
        <v>330.1</v>
      </c>
      <c r="V97" s="15">
        <v>340.1</v>
      </c>
      <c r="W97" s="14">
        <f>IF(AND(O97&gt;S97,P97&gt;T97,Q97&gt;U97,R97&gt;V97),1,0)</f>
        <v>0</v>
      </c>
      <c r="X97" s="24">
        <v>1394.46</v>
      </c>
      <c r="Y97" s="24">
        <v>1198.96</v>
      </c>
      <c r="Z97" s="24">
        <v>23.33</v>
      </c>
      <c r="AA97" s="24">
        <v>21.11</v>
      </c>
      <c r="AB97" s="14">
        <f>IF(AND(X97&gt;Y97,Z97&gt;=AA97,X97&gt;0),1,0)</f>
        <v>1</v>
      </c>
      <c r="AC97" s="12" t="str">
        <f>IF(X97&gt;J97,"Yes","No")</f>
        <v>No</v>
      </c>
      <c r="AD97" s="14">
        <f>IF(X97&gt;J97,1,0)</f>
        <v>0</v>
      </c>
      <c r="AE97" s="26">
        <v>1762.7</v>
      </c>
      <c r="AF97" s="26">
        <v>1277.0999999999999</v>
      </c>
      <c r="AG97" s="17">
        <f>AE97/AF97</f>
        <v>1.3802364732597292</v>
      </c>
      <c r="AH97" s="26">
        <v>1903.8</v>
      </c>
      <c r="AI97" s="26">
        <v>1239.4000000000001</v>
      </c>
      <c r="AJ97" s="17">
        <f>AH97/AI97</f>
        <v>1.536065838308859</v>
      </c>
      <c r="AK97" s="18">
        <f>IF(AG97&gt;=AJ97,1,0)</f>
        <v>0</v>
      </c>
      <c r="AL97" s="28">
        <v>0</v>
      </c>
      <c r="AM97" s="28">
        <v>0</v>
      </c>
      <c r="AN97" s="18">
        <f>IF(AL97&lt;=AM97,1,0)</f>
        <v>1</v>
      </c>
      <c r="AO97" s="28">
        <v>1.94</v>
      </c>
      <c r="AP97" s="28">
        <v>1.87</v>
      </c>
      <c r="AQ97" s="18">
        <f>IF(AO97&gt;AP97,1,0)</f>
        <v>1</v>
      </c>
      <c r="AR97" s="28">
        <v>31.69</v>
      </c>
      <c r="AS97" s="28">
        <v>33.020000000000003</v>
      </c>
      <c r="AT97" s="14">
        <f>IF(AR97&gt;=AS97,1,0)</f>
        <v>0</v>
      </c>
      <c r="AU97" s="20">
        <f>SUM(I97,N97,AB97,AD97,AK97,AN97,AQ97,AT97,F97,W97)</f>
        <v>5</v>
      </c>
    </row>
    <row r="98" spans="1:47" customFormat="1" ht="15.6" x14ac:dyDescent="0.3">
      <c r="A98" s="11">
        <v>97</v>
      </c>
      <c r="B98" s="22" t="s">
        <v>144</v>
      </c>
      <c r="C98" s="23">
        <v>62412.05</v>
      </c>
      <c r="D98" s="24">
        <v>39.380000000000003</v>
      </c>
      <c r="E98" s="24">
        <v>27.77</v>
      </c>
      <c r="F98" s="14">
        <f>IF(OR(D98&gt;=E98,D98=0),0,1)</f>
        <v>0</v>
      </c>
      <c r="G98" s="24">
        <v>6.12</v>
      </c>
      <c r="H98" s="24">
        <v>0.62</v>
      </c>
      <c r="I98" s="14">
        <f>IF(AND(H98&lt;=1,H98&gt;0),1,0)</f>
        <v>1</v>
      </c>
      <c r="J98" s="24">
        <v>1521.48</v>
      </c>
      <c r="K98" s="24">
        <v>1160.69</v>
      </c>
      <c r="L98" s="24">
        <v>32.549999999999997</v>
      </c>
      <c r="M98" s="24">
        <v>30.41</v>
      </c>
      <c r="N98" s="14">
        <f>IF(AND(J98&gt;K98,L98&gt;=M98),1,0)</f>
        <v>1</v>
      </c>
      <c r="O98" s="15">
        <v>384.7</v>
      </c>
      <c r="P98" s="15">
        <v>509.4</v>
      </c>
      <c r="Q98" s="15">
        <v>329.8</v>
      </c>
      <c r="R98" s="15">
        <v>371.5</v>
      </c>
      <c r="S98" s="15">
        <v>292.39999999999998</v>
      </c>
      <c r="T98" s="15">
        <v>330</v>
      </c>
      <c r="U98" s="15">
        <v>250.7</v>
      </c>
      <c r="V98" s="15">
        <v>255.9</v>
      </c>
      <c r="W98" s="14">
        <f>IF(AND(O98&gt;S98,P98&gt;T98,Q98&gt;U98,R98&gt;V98),1,0)</f>
        <v>1</v>
      </c>
      <c r="X98" s="24">
        <v>2100.44</v>
      </c>
      <c r="Y98" s="24">
        <v>1803.21</v>
      </c>
      <c r="Z98" s="24">
        <v>42.4</v>
      </c>
      <c r="AA98" s="24">
        <v>47.92</v>
      </c>
      <c r="AB98" s="14">
        <f>IF(AND(X98&gt;Y98,Z98&gt;=AA98,X98&gt;0),1,0)</f>
        <v>0</v>
      </c>
      <c r="AC98" s="12" t="str">
        <f>IF(X98&gt;J98,"Yes","No")</f>
        <v>Yes</v>
      </c>
      <c r="AD98" s="14">
        <f>IF(X98&gt;J98,1,0)</f>
        <v>1</v>
      </c>
      <c r="AE98" s="26">
        <v>4138.6000000000004</v>
      </c>
      <c r="AF98" s="26">
        <v>1372.1</v>
      </c>
      <c r="AG98" s="17">
        <f>AE98/AF98</f>
        <v>3.0162524597332561</v>
      </c>
      <c r="AH98" s="26">
        <v>5388.2</v>
      </c>
      <c r="AI98" s="28">
        <v>727.7</v>
      </c>
      <c r="AJ98" s="17">
        <f>AH98/AI98</f>
        <v>7.4044249003710316</v>
      </c>
      <c r="AK98" s="18">
        <f>IF(AG98&gt;=AJ98,1,0)</f>
        <v>0</v>
      </c>
      <c r="AL98" s="28">
        <v>0.46</v>
      </c>
      <c r="AM98" s="28">
        <v>0.53</v>
      </c>
      <c r="AN98" s="18">
        <f>IF(AL98&lt;=AM98,1,0)</f>
        <v>1</v>
      </c>
      <c r="AO98" s="28">
        <v>0.28999999999999998</v>
      </c>
      <c r="AP98" s="28">
        <v>0.32</v>
      </c>
      <c r="AQ98" s="18">
        <f>IF(AO98&gt;AP98,1,0)</f>
        <v>0</v>
      </c>
      <c r="AR98" s="28">
        <v>46.84</v>
      </c>
      <c r="AS98" s="28">
        <v>48.72</v>
      </c>
      <c r="AT98" s="14">
        <f>IF(AR98&gt;=AS98,1,0)</f>
        <v>0</v>
      </c>
      <c r="AU98" s="20">
        <f>SUM(I98,N98,AB98,AD98,AK98,AN98,AQ98,AT98,F98,W98)</f>
        <v>5</v>
      </c>
    </row>
    <row r="99" spans="1:47" customFormat="1" ht="15.6" x14ac:dyDescent="0.3">
      <c r="A99" s="11">
        <v>98</v>
      </c>
      <c r="B99" s="22" t="s">
        <v>145</v>
      </c>
      <c r="C99" s="23">
        <v>53151.6</v>
      </c>
      <c r="D99" s="24">
        <v>17.46</v>
      </c>
      <c r="E99" s="24">
        <v>21.73</v>
      </c>
      <c r="F99" s="14">
        <f>IF(OR(D99&gt;=E99,D99=0),0,1)</f>
        <v>1</v>
      </c>
      <c r="G99" s="24">
        <v>0.9</v>
      </c>
      <c r="H99" s="24">
        <v>-0.43</v>
      </c>
      <c r="I99" s="14">
        <f>IF(AND(H99&lt;=1,H99&gt;0),1,0)</f>
        <v>0</v>
      </c>
      <c r="J99" s="24">
        <v>2371.8000000000002</v>
      </c>
      <c r="K99" s="24">
        <v>3066.67</v>
      </c>
      <c r="L99" s="24">
        <v>2.57</v>
      </c>
      <c r="M99" s="24">
        <v>3.42</v>
      </c>
      <c r="N99" s="14">
        <f>IF(AND(J99&gt;K99,L99&gt;=M99),1,0)</f>
        <v>0</v>
      </c>
      <c r="O99" s="15">
        <v>744.6</v>
      </c>
      <c r="P99" s="15">
        <v>1251</v>
      </c>
      <c r="Q99" s="15">
        <v>141.9</v>
      </c>
      <c r="R99" s="15">
        <v>897.2</v>
      </c>
      <c r="S99" s="15">
        <v>81.8</v>
      </c>
      <c r="T99" s="15">
        <v>1125.7</v>
      </c>
      <c r="U99" s="15">
        <v>422.9</v>
      </c>
      <c r="V99" s="15">
        <v>1305.5999999999999</v>
      </c>
      <c r="W99" s="14">
        <f>IF(AND(O99&gt;S99,P99&gt;T99,Q99&gt;U99,R99&gt;V99),1,0)</f>
        <v>0</v>
      </c>
      <c r="X99" s="24">
        <v>9914.2999999999993</v>
      </c>
      <c r="Y99" s="24">
        <v>2910.88</v>
      </c>
      <c r="Z99" s="24">
        <v>9.5</v>
      </c>
      <c r="AA99" s="24">
        <v>2.76</v>
      </c>
      <c r="AB99" s="14">
        <f>IF(AND(X99&gt;Y99,Z99&gt;=AA99,X99&gt;0),1,0)</f>
        <v>1</v>
      </c>
      <c r="AC99" s="12" t="str">
        <f>IF(X99&gt;J99,"Yes","No")</f>
        <v>Yes</v>
      </c>
      <c r="AD99" s="14">
        <f>IF(X99&gt;J99,1,0)</f>
        <v>1</v>
      </c>
      <c r="AE99" s="26">
        <v>46480.4</v>
      </c>
      <c r="AF99" s="26">
        <v>46190.1</v>
      </c>
      <c r="AG99" s="17">
        <f>AE99/AF99</f>
        <v>1.0062848965470956</v>
      </c>
      <c r="AH99" s="27">
        <v>52763</v>
      </c>
      <c r="AI99" s="26">
        <v>53464.4</v>
      </c>
      <c r="AJ99" s="17">
        <f>AH99/AI99</f>
        <v>0.98688098996715568</v>
      </c>
      <c r="AK99" s="18">
        <f>IF(AG99&gt;=AJ99,1,0)</f>
        <v>1</v>
      </c>
      <c r="AL99" s="28">
        <v>0.17</v>
      </c>
      <c r="AM99" s="28">
        <v>0.17</v>
      </c>
      <c r="AN99" s="18">
        <f>IF(AL99&lt;=AM99,1,0)</f>
        <v>1</v>
      </c>
      <c r="AO99" s="28">
        <v>0.74</v>
      </c>
      <c r="AP99" s="28">
        <v>0.78</v>
      </c>
      <c r="AQ99" s="18">
        <f>IF(AO99&gt;AP99,1,0)</f>
        <v>0</v>
      </c>
      <c r="AR99" s="28">
        <v>10.3</v>
      </c>
      <c r="AS99" s="28">
        <v>10.47</v>
      </c>
      <c r="AT99" s="14">
        <f>IF(AR99&gt;=AS99,1,0)</f>
        <v>0</v>
      </c>
      <c r="AU99" s="20">
        <f>SUM(I99,N99,AB99,AD99,AK99,AN99,AQ99,AT99,F99,W99)</f>
        <v>5</v>
      </c>
    </row>
    <row r="100" spans="1:47" customFormat="1" ht="15.6" x14ac:dyDescent="0.3">
      <c r="A100" s="11">
        <v>99</v>
      </c>
      <c r="B100" s="22" t="s">
        <v>146</v>
      </c>
      <c r="C100" s="23">
        <v>52542.97</v>
      </c>
      <c r="D100" s="24">
        <v>39.42</v>
      </c>
      <c r="E100" s="24">
        <v>32.840000000000003</v>
      </c>
      <c r="F100" s="14">
        <f>IF(OR(D100&gt;=E100,D100=0),0,1)</f>
        <v>0</v>
      </c>
      <c r="G100" s="24">
        <v>5.94</v>
      </c>
      <c r="H100" s="24">
        <v>6.31</v>
      </c>
      <c r="I100" s="14">
        <f>IF(AND(H100&lt;=1,H100&gt;0),1,0)</f>
        <v>0</v>
      </c>
      <c r="J100" s="24">
        <v>1047.1500000000001</v>
      </c>
      <c r="K100" s="24">
        <v>-1433.52</v>
      </c>
      <c r="L100" s="24">
        <v>9.89</v>
      </c>
      <c r="M100" s="24">
        <v>-37.29</v>
      </c>
      <c r="N100" s="14">
        <f>IF(AND(J100&gt;K100,L100&gt;=M100),1,0)</f>
        <v>1</v>
      </c>
      <c r="O100" s="15">
        <v>4.7</v>
      </c>
      <c r="P100" s="15">
        <v>348</v>
      </c>
      <c r="Q100" s="15">
        <v>354.2</v>
      </c>
      <c r="R100" s="15">
        <v>340.3</v>
      </c>
      <c r="S100" s="15">
        <v>-1218.3</v>
      </c>
      <c r="T100" s="15">
        <v>-351.4</v>
      </c>
      <c r="U100" s="15">
        <v>-81.900000000000006</v>
      </c>
      <c r="V100" s="15">
        <v>23.2</v>
      </c>
      <c r="W100" s="14">
        <f>IF(AND(O100&gt;S100,P100&gt;T100,Q100&gt;U100,R100&gt;V100),1,0)</f>
        <v>1</v>
      </c>
      <c r="X100" s="24">
        <v>-827.6</v>
      </c>
      <c r="Y100" s="24">
        <v>-265.44</v>
      </c>
      <c r="Z100" s="24">
        <v>-6.2</v>
      </c>
      <c r="AA100" s="24">
        <v>-2.25</v>
      </c>
      <c r="AB100" s="14">
        <f>IF(AND(X100&gt;Y100,Z100&gt;=AA100,X100&gt;0),1,0)</f>
        <v>0</v>
      </c>
      <c r="AC100" s="12" t="str">
        <f>IF(X100&gt;J100,"Yes","No")</f>
        <v>No</v>
      </c>
      <c r="AD100" s="14">
        <f>IF(X100&gt;J100,1,0)</f>
        <v>0</v>
      </c>
      <c r="AE100" s="26">
        <v>9295.5</v>
      </c>
      <c r="AF100" s="27">
        <v>5967</v>
      </c>
      <c r="AG100" s="17">
        <f>AE100/AF100</f>
        <v>1.5578179989944696</v>
      </c>
      <c r="AH100" s="26">
        <v>7428.1</v>
      </c>
      <c r="AI100" s="26">
        <v>5818.6</v>
      </c>
      <c r="AJ100" s="17">
        <f>AH100/AI100</f>
        <v>1.2766129309455883</v>
      </c>
      <c r="AK100" s="18">
        <f>IF(AG100&gt;=AJ100,1,0)</f>
        <v>1</v>
      </c>
      <c r="AL100" s="28">
        <v>0.06</v>
      </c>
      <c r="AM100" s="28">
        <v>0</v>
      </c>
      <c r="AN100" s="18">
        <f>IF(AL100&lt;=AM100,1,0)</f>
        <v>0</v>
      </c>
      <c r="AO100" s="28">
        <v>0.88</v>
      </c>
      <c r="AP100" s="28">
        <v>0.7</v>
      </c>
      <c r="AQ100" s="18">
        <f>IF(AO100&gt;AP100,1,0)</f>
        <v>1</v>
      </c>
      <c r="AR100" s="28">
        <v>17.5</v>
      </c>
      <c r="AS100" s="28">
        <v>9.4499999999999993</v>
      </c>
      <c r="AT100" s="14">
        <f>IF(AR100&gt;=AS100,1,0)</f>
        <v>1</v>
      </c>
      <c r="AU100" s="20">
        <f>SUM(I100,N100,AB100,AD100,AK100,AN100,AQ100,AT100,F100,W100)</f>
        <v>5</v>
      </c>
    </row>
    <row r="101" spans="1:47" customFormat="1" ht="15.6" x14ac:dyDescent="0.3">
      <c r="A101" s="11">
        <v>100</v>
      </c>
      <c r="B101" s="22" t="s">
        <v>147</v>
      </c>
      <c r="C101" s="23">
        <v>52477.05</v>
      </c>
      <c r="D101" s="24">
        <v>118.9</v>
      </c>
      <c r="E101" s="24">
        <v>73.91</v>
      </c>
      <c r="F101" s="14">
        <f>IF(OR(D101&gt;=E101,D101=0),0,1)</f>
        <v>0</v>
      </c>
      <c r="G101" s="24">
        <v>13.89</v>
      </c>
      <c r="H101" s="24">
        <v>8.6300000000000008</v>
      </c>
      <c r="I101" s="14">
        <f>IF(AND(H101&lt;=1,H101&gt;0),1,0)</f>
        <v>0</v>
      </c>
      <c r="J101" s="24">
        <v>447.81</v>
      </c>
      <c r="K101" s="24">
        <v>426.34</v>
      </c>
      <c r="L101" s="24">
        <v>17.89</v>
      </c>
      <c r="M101" s="24">
        <v>15.23</v>
      </c>
      <c r="N101" s="14">
        <f>IF(AND(J101&gt;K101,L101&gt;=M101),1,0)</f>
        <v>1</v>
      </c>
      <c r="O101" s="15">
        <v>118.4</v>
      </c>
      <c r="P101" s="15">
        <v>116.3</v>
      </c>
      <c r="Q101" s="15">
        <v>106.4</v>
      </c>
      <c r="R101" s="15">
        <v>113.7</v>
      </c>
      <c r="S101" s="15">
        <v>105.4</v>
      </c>
      <c r="T101" s="15">
        <v>120.1</v>
      </c>
      <c r="U101" s="15">
        <v>108.7</v>
      </c>
      <c r="V101" s="15">
        <v>99.9</v>
      </c>
      <c r="W101" s="14">
        <f>IF(AND(O101&gt;S101,P101&gt;T101,Q101&gt;U101,R101&gt;V101),1,0)</f>
        <v>0</v>
      </c>
      <c r="X101" s="24">
        <v>583.6</v>
      </c>
      <c r="Y101" s="24">
        <v>440.4</v>
      </c>
      <c r="Z101" s="24">
        <v>24.28</v>
      </c>
      <c r="AA101" s="24">
        <v>15.91</v>
      </c>
      <c r="AB101" s="14">
        <f>IF(AND(X101&gt;Y101,Z101&gt;=AA101,X101&gt;0),1,0)</f>
        <v>1</v>
      </c>
      <c r="AC101" s="12" t="str">
        <f>IF(X101&gt;J101,"Yes","No")</f>
        <v>Yes</v>
      </c>
      <c r="AD101" s="14">
        <f>IF(X101&gt;J101,1,0)</f>
        <v>1</v>
      </c>
      <c r="AE101" s="28">
        <v>994.3</v>
      </c>
      <c r="AF101" s="26">
        <v>1026.5</v>
      </c>
      <c r="AG101" s="17">
        <f>AE101/AF101</f>
        <v>0.9686312713102776</v>
      </c>
      <c r="AH101" s="27">
        <v>1944</v>
      </c>
      <c r="AI101" s="26">
        <v>1031.4000000000001</v>
      </c>
      <c r="AJ101" s="17">
        <f>AH101/AI101</f>
        <v>1.8848167539267013</v>
      </c>
      <c r="AK101" s="18">
        <f>IF(AG101&gt;=AJ101,1,0)</f>
        <v>0</v>
      </c>
      <c r="AL101" s="28">
        <v>0</v>
      </c>
      <c r="AM101" s="28">
        <v>0</v>
      </c>
      <c r="AN101" s="18">
        <f>IF(AL101&lt;=AM101,1,0)</f>
        <v>1</v>
      </c>
      <c r="AO101" s="28">
        <v>0.5</v>
      </c>
      <c r="AP101" s="28">
        <v>0.6</v>
      </c>
      <c r="AQ101" s="18">
        <f>IF(AO101&gt;AP101,1,0)</f>
        <v>0</v>
      </c>
      <c r="AR101" s="28">
        <v>29.97</v>
      </c>
      <c r="AS101" s="28">
        <v>24.68</v>
      </c>
      <c r="AT101" s="14">
        <f>IF(AR101&gt;=AS101,1,0)</f>
        <v>1</v>
      </c>
      <c r="AU101" s="20">
        <f>SUM(I101,N101,AB101,AD101,AK101,AN101,AQ101,AT101,F101,W101)</f>
        <v>5</v>
      </c>
    </row>
    <row r="102" spans="1:47" customFormat="1" ht="15.6" x14ac:dyDescent="0.3">
      <c r="A102" s="11">
        <v>101</v>
      </c>
      <c r="B102" s="22" t="s">
        <v>148</v>
      </c>
      <c r="C102" s="23">
        <v>51250.61</v>
      </c>
      <c r="D102" s="24">
        <v>29.47</v>
      </c>
      <c r="E102" s="24">
        <v>29.47</v>
      </c>
      <c r="F102" s="14">
        <f>IF(OR(D102&gt;=E102,D102=0),0,1)</f>
        <v>0</v>
      </c>
      <c r="G102" s="24">
        <v>5.32</v>
      </c>
      <c r="H102" s="24">
        <v>5.21</v>
      </c>
      <c r="I102" s="14">
        <f>IF(AND(H102&lt;=1,H102&gt;0),1,0)</f>
        <v>0</v>
      </c>
      <c r="J102" s="24">
        <v>1702.14</v>
      </c>
      <c r="K102" s="24">
        <v>1554.82</v>
      </c>
      <c r="L102" s="24">
        <v>11.8</v>
      </c>
      <c r="M102" s="24">
        <v>11.62</v>
      </c>
      <c r="N102" s="14">
        <f>IF(AND(J102&gt;K102,L102&gt;=M102),1,0)</f>
        <v>1</v>
      </c>
      <c r="O102" s="15">
        <v>441.7</v>
      </c>
      <c r="P102" s="15">
        <v>446.5</v>
      </c>
      <c r="Q102" s="15">
        <v>427.8</v>
      </c>
      <c r="R102" s="15">
        <v>423.3</v>
      </c>
      <c r="S102" s="15">
        <v>404.5</v>
      </c>
      <c r="T102" s="15">
        <v>393.2</v>
      </c>
      <c r="U102" s="15">
        <v>373.6</v>
      </c>
      <c r="V102" s="15">
        <v>392</v>
      </c>
      <c r="W102" s="14">
        <f>IF(AND(O102&gt;S102,P102&gt;T102,Q102&gt;U102,R102&gt;V102),1,0)</f>
        <v>1</v>
      </c>
      <c r="X102" s="24">
        <v>1905.2</v>
      </c>
      <c r="Y102" s="24">
        <v>2179.6999999999998</v>
      </c>
      <c r="Z102" s="24">
        <v>13.1</v>
      </c>
      <c r="AA102" s="24">
        <v>16.420000000000002</v>
      </c>
      <c r="AB102" s="14">
        <f>IF(AND(X102&gt;Y102,Z102&gt;=AA102,X102&gt;0),1,0)</f>
        <v>0</v>
      </c>
      <c r="AC102" s="12" t="str">
        <f>IF(X102&gt;J102,"Yes","No")</f>
        <v>Yes</v>
      </c>
      <c r="AD102" s="14">
        <f>IF(X102&gt;J102,1,0)</f>
        <v>1</v>
      </c>
      <c r="AE102" s="26">
        <v>6986.1</v>
      </c>
      <c r="AF102" s="26">
        <v>4448.7</v>
      </c>
      <c r="AG102" s="17">
        <f>AE102/AF102</f>
        <v>1.5703688718052466</v>
      </c>
      <c r="AH102" s="26">
        <v>6632.4</v>
      </c>
      <c r="AI102" s="26">
        <v>4204.6000000000004</v>
      </c>
      <c r="AJ102" s="17">
        <f>AH102/AI102</f>
        <v>1.5774152119107643</v>
      </c>
      <c r="AK102" s="18">
        <f>IF(AG102&gt;=AJ102,1,0)</f>
        <v>0</v>
      </c>
      <c r="AL102" s="28">
        <v>0</v>
      </c>
      <c r="AM102" s="28">
        <v>0</v>
      </c>
      <c r="AN102" s="18">
        <f>IF(AL102&lt;=AM102,1,0)</f>
        <v>1</v>
      </c>
      <c r="AO102" s="28">
        <v>0.98</v>
      </c>
      <c r="AP102" s="28">
        <v>1.03</v>
      </c>
      <c r="AQ102" s="18">
        <f>IF(AO102&gt;AP102,1,0)</f>
        <v>0</v>
      </c>
      <c r="AR102" s="28">
        <v>18.27</v>
      </c>
      <c r="AS102" s="28">
        <v>17.940000000000001</v>
      </c>
      <c r="AT102" s="14">
        <f>IF(AR102&gt;=AS102,1,0)</f>
        <v>1</v>
      </c>
      <c r="AU102" s="20">
        <f>SUM(I102,N102,AB102,AD102,AK102,AN102,AQ102,AT102,F102,W102)</f>
        <v>5</v>
      </c>
    </row>
    <row r="103" spans="1:47" customFormat="1" ht="15.6" x14ac:dyDescent="0.3">
      <c r="A103" s="11">
        <v>102</v>
      </c>
      <c r="B103" s="22" t="s">
        <v>160</v>
      </c>
      <c r="C103" s="23">
        <v>127068.86</v>
      </c>
      <c r="D103" s="24">
        <v>14.94</v>
      </c>
      <c r="E103" s="24">
        <v>22.82</v>
      </c>
      <c r="F103" s="14">
        <f>IF(OR(D103&gt;=E103,D103=0),0,1)</f>
        <v>1</v>
      </c>
      <c r="G103" s="24">
        <v>2.25</v>
      </c>
      <c r="H103" s="24">
        <v>0.34</v>
      </c>
      <c r="I103" s="14">
        <f>IF(AND(H103&lt;=1,H103&gt;0),1,0)</f>
        <v>1</v>
      </c>
      <c r="J103" s="24">
        <v>9576.32</v>
      </c>
      <c r="K103" s="24">
        <v>7398.89</v>
      </c>
      <c r="L103" s="24">
        <v>18.73</v>
      </c>
      <c r="M103" s="24">
        <v>20.2</v>
      </c>
      <c r="N103" s="14">
        <f>IF(AND(J103&gt;K103,L103&gt;=M103),1,0)</f>
        <v>0</v>
      </c>
      <c r="O103" s="15">
        <v>2143.8000000000002</v>
      </c>
      <c r="P103" s="15">
        <v>3246.9</v>
      </c>
      <c r="Q103" s="15">
        <v>2140.4</v>
      </c>
      <c r="R103" s="15">
        <v>2022.8</v>
      </c>
      <c r="S103" s="15">
        <v>2008.8</v>
      </c>
      <c r="T103" s="15">
        <v>1866.2</v>
      </c>
      <c r="U103" s="15">
        <v>1786.1</v>
      </c>
      <c r="V103" s="15">
        <v>1705.2</v>
      </c>
      <c r="W103" s="14">
        <f>IF(AND(O103&gt;S103,P103&gt;T103,Q103&gt;U103,R103&gt;V103),1,0)</f>
        <v>1</v>
      </c>
      <c r="X103" s="24">
        <v>-43651.9</v>
      </c>
      <c r="Y103" s="24">
        <v>-31118.28</v>
      </c>
      <c r="Z103" s="24">
        <v>-99.71</v>
      </c>
      <c r="AA103" s="24">
        <v>-88.98</v>
      </c>
      <c r="AB103" s="14">
        <f>IF(AND(X103&gt;Y103,Z103&gt;=AA103,X103&gt;0),1,0)</f>
        <v>0</v>
      </c>
      <c r="AC103" s="12" t="str">
        <f>IF(X103&gt;J103,"Yes","No")</f>
        <v>No</v>
      </c>
      <c r="AD103" s="14">
        <f>IF(X103&gt;J103,1,0)</f>
        <v>0</v>
      </c>
      <c r="AE103" s="16">
        <v>286359.2</v>
      </c>
      <c r="AF103" s="16">
        <v>123839.3</v>
      </c>
      <c r="AG103" s="17">
        <f>AE103/AF103</f>
        <v>2.3123451117698504</v>
      </c>
      <c r="AH103" s="16">
        <v>240429.4</v>
      </c>
      <c r="AI103" s="25">
        <v>102434</v>
      </c>
      <c r="AJ103" s="17">
        <f>AH103/AI103</f>
        <v>2.3471640275689714</v>
      </c>
      <c r="AK103" s="18">
        <f>IF(AG103&gt;=AJ103,1,0)</f>
        <v>0</v>
      </c>
      <c r="AL103" s="19">
        <v>2</v>
      </c>
      <c r="AM103" s="19">
        <v>1.95</v>
      </c>
      <c r="AN103" s="18">
        <f>IF(AL103&lt;=AM103,1,0)</f>
        <v>0</v>
      </c>
      <c r="AO103" s="19">
        <v>0.15</v>
      </c>
      <c r="AP103" s="19">
        <v>0.14000000000000001</v>
      </c>
      <c r="AQ103" s="18">
        <f>IF(AO103&gt;AP103,1,0)</f>
        <v>1</v>
      </c>
      <c r="AR103" s="19">
        <v>71.73</v>
      </c>
      <c r="AS103" s="19">
        <v>71.5</v>
      </c>
      <c r="AT103" s="14">
        <f>IF(AR103&gt;=AS103,1,0)</f>
        <v>1</v>
      </c>
      <c r="AU103" s="20">
        <f>SUM(I103,N103,AB103,AD103,AK103,AN103,AQ103,AT103,F103,W103)</f>
        <v>5</v>
      </c>
    </row>
    <row r="104" spans="1:47" customFormat="1" ht="15.6" x14ac:dyDescent="0.3">
      <c r="A104" s="11">
        <v>103</v>
      </c>
      <c r="B104" s="12" t="s">
        <v>176</v>
      </c>
      <c r="C104" s="13">
        <v>665867.78</v>
      </c>
      <c r="D104" s="12">
        <v>38.21</v>
      </c>
      <c r="E104" s="12">
        <v>22.82</v>
      </c>
      <c r="F104" s="14">
        <f>IF(OR(D104&gt;=E104,D104=0),0,1)</f>
        <v>0</v>
      </c>
      <c r="G104" s="12">
        <v>6.88</v>
      </c>
      <c r="H104" s="12">
        <v>1.1499999999999999</v>
      </c>
      <c r="I104" s="14">
        <f>IF(AND(H104&lt;=1,H104&gt;0),1,0)</f>
        <v>0</v>
      </c>
      <c r="J104" s="12">
        <v>16779.48</v>
      </c>
      <c r="K104" s="12">
        <v>14451.17</v>
      </c>
      <c r="L104" s="12">
        <v>24.11</v>
      </c>
      <c r="M104" s="12">
        <v>26.3</v>
      </c>
      <c r="N104" s="14">
        <f>IF(AND(J104&gt;K104,L104&gt;=M104),1,0)</f>
        <v>0</v>
      </c>
      <c r="O104" s="15">
        <v>4479.6000000000004</v>
      </c>
      <c r="P104" s="15">
        <v>4246.5</v>
      </c>
      <c r="Q104" s="15">
        <v>3999.7</v>
      </c>
      <c r="R104" s="15">
        <v>3912</v>
      </c>
      <c r="S104" s="15">
        <v>3824.5</v>
      </c>
      <c r="T104" s="15">
        <v>3639</v>
      </c>
      <c r="U104" s="15">
        <v>3550.8</v>
      </c>
      <c r="V104" s="15">
        <v>3436.9</v>
      </c>
      <c r="W104" s="14">
        <f>IF(AND(O104&gt;S104,P104&gt;T104,Q104&gt;U104,R104&gt;V104),1,0)</f>
        <v>1</v>
      </c>
      <c r="X104" s="12">
        <v>-68154.47</v>
      </c>
      <c r="Y104" s="12">
        <v>-69843.31</v>
      </c>
      <c r="Z104" s="12">
        <v>-93.23</v>
      </c>
      <c r="AA104" s="12">
        <v>-127.05</v>
      </c>
      <c r="AB104" s="14">
        <f>IF(AND(X104&gt;Y104,Z104&gt;=AA104,X104&gt;0),1,0)</f>
        <v>0</v>
      </c>
      <c r="AC104" s="12" t="str">
        <f>IF(X104&gt;J104,"Yes","No")</f>
        <v>No</v>
      </c>
      <c r="AD104" s="14">
        <f>IF(X104&gt;J104,1,0)</f>
        <v>0</v>
      </c>
      <c r="AE104" s="16">
        <v>460437.2</v>
      </c>
      <c r="AF104" s="16">
        <v>366042.9</v>
      </c>
      <c r="AG104" s="17">
        <f>AE104/AF104</f>
        <v>1.2578776968491945</v>
      </c>
      <c r="AH104" s="16">
        <v>370991.2</v>
      </c>
      <c r="AI104" s="25">
        <v>298021</v>
      </c>
      <c r="AJ104" s="17">
        <f>AH104/AI104</f>
        <v>1.2448491884800066</v>
      </c>
      <c r="AK104" s="18">
        <f>IF(AG104&gt;=AJ104,1,0)</f>
        <v>1</v>
      </c>
      <c r="AL104" s="19">
        <v>0</v>
      </c>
      <c r="AM104" s="19">
        <v>0</v>
      </c>
      <c r="AN104" s="18">
        <f>IF(AL104&lt;=AM104,1,0)</f>
        <v>1</v>
      </c>
      <c r="AO104" s="19">
        <v>0.17</v>
      </c>
      <c r="AP104" s="19">
        <v>0.16</v>
      </c>
      <c r="AQ104" s="18">
        <f>IF(AO104&gt;AP104,1,0)</f>
        <v>1</v>
      </c>
      <c r="AR104" s="19">
        <v>68.37</v>
      </c>
      <c r="AS104" s="19">
        <v>67.38</v>
      </c>
      <c r="AT104" s="14">
        <f>IF(AR104&gt;=AS104,1,0)</f>
        <v>1</v>
      </c>
      <c r="AU104" s="20">
        <f>SUM(I104,N104,AB104,AD104,AK104,AN104,AQ104,AT104,F104,W104)</f>
        <v>5</v>
      </c>
    </row>
    <row r="105" spans="1:47" customFormat="1" ht="15.6" x14ac:dyDescent="0.3">
      <c r="A105" s="11">
        <v>104</v>
      </c>
      <c r="B105" s="12" t="s">
        <v>149</v>
      </c>
      <c r="C105" s="13">
        <v>1540287.6</v>
      </c>
      <c r="D105" s="12">
        <v>21.29</v>
      </c>
      <c r="E105" s="12">
        <v>12.63</v>
      </c>
      <c r="F105" s="14">
        <f>IF(OR(D105&gt;=E105,D105=0),0,1)</f>
        <v>0</v>
      </c>
      <c r="G105" s="12">
        <v>2.86</v>
      </c>
      <c r="H105" s="12">
        <v>0.93</v>
      </c>
      <c r="I105" s="14">
        <f>IF(AND(H105&lt;=1,H105&gt;0),1,0)</f>
        <v>1</v>
      </c>
      <c r="J105" s="12">
        <v>73440.17</v>
      </c>
      <c r="K105" s="12">
        <v>65446.5</v>
      </c>
      <c r="L105" s="12">
        <v>21.8</v>
      </c>
      <c r="M105" s="12">
        <v>23.02</v>
      </c>
      <c r="N105" s="14">
        <f>IF(AND(J105&gt;K105,L105&gt;=M105),1,0)</f>
        <v>0</v>
      </c>
      <c r="O105" s="15">
        <v>16257.9</v>
      </c>
      <c r="P105" s="15">
        <v>18834.900000000001</v>
      </c>
      <c r="Q105" s="15">
        <v>17656.599999999999</v>
      </c>
      <c r="R105" s="15">
        <v>17825.900000000001</v>
      </c>
      <c r="S105" s="15">
        <v>16474.900000000001</v>
      </c>
      <c r="T105" s="15">
        <v>17622.400000000001</v>
      </c>
      <c r="U105" s="15">
        <v>17257.900000000001</v>
      </c>
      <c r="V105" s="15">
        <v>16811.400000000001</v>
      </c>
      <c r="W105" s="14">
        <f>IF(AND(O105&gt;S105,P105&gt;T105,Q105&gt;U105,R105&gt;V105),1,0)</f>
        <v>0</v>
      </c>
      <c r="X105" s="12">
        <v>127241.84</v>
      </c>
      <c r="Y105" s="12">
        <v>19069.34</v>
      </c>
      <c r="Z105" s="12">
        <v>36.76</v>
      </c>
      <c r="AA105" s="12">
        <v>6.72</v>
      </c>
      <c r="AB105" s="14">
        <f>IF(AND(X105&gt;Y105,Z105&gt;=AA105,X105&gt;0),1,0)</f>
        <v>1</v>
      </c>
      <c r="AC105" s="12" t="str">
        <f>IF(X105&gt;J105,"Yes","No")</f>
        <v>Yes</v>
      </c>
      <c r="AD105" s="14">
        <f>IF(X105&gt;J105,1,0)</f>
        <v>1</v>
      </c>
      <c r="AE105" s="16">
        <v>3190686.6</v>
      </c>
      <c r="AF105" s="16">
        <v>188163.7</v>
      </c>
      <c r="AG105" s="17">
        <f>AE105/AF105</f>
        <v>16.956972040834657</v>
      </c>
      <c r="AH105" s="16">
        <v>3011908.9</v>
      </c>
      <c r="AI105" s="16">
        <v>174832.1</v>
      </c>
      <c r="AJ105" s="17">
        <f>AH105/AI105</f>
        <v>17.227436494785568</v>
      </c>
      <c r="AK105" s="18">
        <f>IF(AG105&gt;=AJ105,1,0)</f>
        <v>0</v>
      </c>
      <c r="AL105" s="19">
        <v>1.22</v>
      </c>
      <c r="AM105" s="19">
        <v>1.6</v>
      </c>
      <c r="AN105" s="18">
        <f>IF(AL105&lt;=AM105,1,0)</f>
        <v>1</v>
      </c>
      <c r="AO105" s="19">
        <v>0.08</v>
      </c>
      <c r="AP105" s="19">
        <v>0.09</v>
      </c>
      <c r="AQ105" s="18">
        <f>IF(AO105&gt;AP105,1,0)</f>
        <v>0</v>
      </c>
      <c r="AR105" s="19">
        <v>23.45</v>
      </c>
      <c r="AS105" s="19">
        <v>24.9</v>
      </c>
      <c r="AT105" s="14">
        <f>IF(AR105&gt;=AS105,1,0)</f>
        <v>0</v>
      </c>
      <c r="AU105" s="20">
        <f>SUM(I105,N105,AB105,AD105,AK105,AN105,AQ105,AT105,F105,W105)</f>
        <v>4</v>
      </c>
    </row>
    <row r="106" spans="1:47" customFormat="1" ht="15.6" x14ac:dyDescent="0.3">
      <c r="A106" s="11">
        <v>105</v>
      </c>
      <c r="B106" s="12" t="s">
        <v>150</v>
      </c>
      <c r="C106" s="13">
        <v>528130.97</v>
      </c>
      <c r="D106" s="12">
        <v>33.979999999999997</v>
      </c>
      <c r="E106" s="12">
        <v>21.76</v>
      </c>
      <c r="F106" s="14">
        <f>IF(OR(D106&gt;=E106,D106=0),0,1)</f>
        <v>0</v>
      </c>
      <c r="G106" s="12">
        <v>5.41</v>
      </c>
      <c r="H106" s="12">
        <v>1.48</v>
      </c>
      <c r="I106" s="14">
        <f>IF(AND(H106&lt;=1,H106&gt;0),1,0)</f>
        <v>0</v>
      </c>
      <c r="J106" s="12">
        <v>17673.330000000002</v>
      </c>
      <c r="K106" s="12">
        <v>15547.1</v>
      </c>
      <c r="L106" s="12">
        <v>7</v>
      </c>
      <c r="M106" s="12">
        <v>6.57</v>
      </c>
      <c r="N106" s="14">
        <f>IF(AND(J106&gt;K106,L106&gt;=M106),1,0)</f>
        <v>1</v>
      </c>
      <c r="O106" s="15">
        <v>3617.2</v>
      </c>
      <c r="P106" s="15">
        <v>5497.3</v>
      </c>
      <c r="Q106" s="15">
        <v>3358.8</v>
      </c>
      <c r="R106" s="15">
        <v>3395.3</v>
      </c>
      <c r="S106" s="15">
        <v>2785.7</v>
      </c>
      <c r="T106" s="15">
        <v>4396.1000000000004</v>
      </c>
      <c r="U106" s="15">
        <v>2947.4</v>
      </c>
      <c r="V106" s="15">
        <v>3222.6</v>
      </c>
      <c r="W106" s="14">
        <f>IF(AND(O106&gt;S106,P106&gt;T106,Q106&gt;U106,R106&gt;V106),1,0)</f>
        <v>1</v>
      </c>
      <c r="X106" s="12">
        <v>9160.7099999999991</v>
      </c>
      <c r="Y106" s="12">
        <v>18266.28</v>
      </c>
      <c r="Z106" s="12">
        <v>3.47</v>
      </c>
      <c r="AA106" s="12">
        <v>8.26</v>
      </c>
      <c r="AB106" s="14">
        <f>IF(AND(X106&gt;Y106,Z106&gt;=AA106,X106&gt;0),1,0)</f>
        <v>0</v>
      </c>
      <c r="AC106" s="12" t="str">
        <f>IF(X106&gt;J106,"Yes","No")</f>
        <v>No</v>
      </c>
      <c r="AD106" s="14">
        <f>IF(X106&gt;J106,1,0)</f>
        <v>0</v>
      </c>
      <c r="AE106" s="16">
        <v>245341.7</v>
      </c>
      <c r="AF106" s="16">
        <v>201970.9</v>
      </c>
      <c r="AG106" s="17">
        <f>AE106/AF106</f>
        <v>1.2147378657024355</v>
      </c>
      <c r="AH106" s="16">
        <v>218079.9</v>
      </c>
      <c r="AI106" s="16">
        <v>176600.7</v>
      </c>
      <c r="AJ106" s="17">
        <f>AH106/AI106</f>
        <v>1.234875626200802</v>
      </c>
      <c r="AK106" s="18">
        <f>IF(AG106&gt;=AJ106,1,0)</f>
        <v>0</v>
      </c>
      <c r="AL106" s="19">
        <v>0.59</v>
      </c>
      <c r="AM106" s="19">
        <v>0.65</v>
      </c>
      <c r="AN106" s="18">
        <f>IF(AL106&lt;=AM106,1,0)</f>
        <v>1</v>
      </c>
      <c r="AO106" s="19">
        <v>0.71</v>
      </c>
      <c r="AP106" s="19">
        <v>0.66</v>
      </c>
      <c r="AQ106" s="18">
        <f>IF(AO106&gt;AP106,1,0)</f>
        <v>1</v>
      </c>
      <c r="AR106" s="19">
        <v>10.17</v>
      </c>
      <c r="AS106" s="19">
        <v>10.43</v>
      </c>
      <c r="AT106" s="14">
        <f>IF(AR106&gt;=AS106,1,0)</f>
        <v>0</v>
      </c>
      <c r="AU106" s="20">
        <f>SUM(I106,N106,AB106,AD106,AK106,AN106,AQ106,AT106,F106,W106)</f>
        <v>4</v>
      </c>
    </row>
    <row r="107" spans="1:47" customFormat="1" ht="15.6" x14ac:dyDescent="0.3">
      <c r="A107" s="11">
        <v>106</v>
      </c>
      <c r="B107" s="12" t="s">
        <v>151</v>
      </c>
      <c r="C107" s="13">
        <v>516334.83</v>
      </c>
      <c r="D107" s="12">
        <v>25.78</v>
      </c>
      <c r="E107" s="12">
        <v>49.21</v>
      </c>
      <c r="F107" s="14">
        <f>IF(OR(D107&gt;=E107,D107=0),0,1)</f>
        <v>1</v>
      </c>
      <c r="G107" s="12">
        <v>7.36</v>
      </c>
      <c r="H107" s="12">
        <v>2.83</v>
      </c>
      <c r="I107" s="14">
        <f>IF(AND(H107&lt;=1,H107&gt;0),1,0)</f>
        <v>0</v>
      </c>
      <c r="J107" s="12">
        <v>35052.480000000003</v>
      </c>
      <c r="K107" s="12">
        <v>20751.36</v>
      </c>
      <c r="L107" s="12">
        <v>26.45</v>
      </c>
      <c r="M107" s="12">
        <v>29.65</v>
      </c>
      <c r="N107" s="14">
        <f>IF(AND(J107&gt;K107,L107&gt;=M107),1,0)</f>
        <v>0</v>
      </c>
      <c r="O107" s="15">
        <v>5244.2</v>
      </c>
      <c r="P107" s="15">
        <v>19727.400000000001</v>
      </c>
      <c r="Q107" s="15">
        <v>4934.8</v>
      </c>
      <c r="R107" s="15">
        <v>4992.8999999999996</v>
      </c>
      <c r="S107" s="15">
        <v>5091.6000000000004</v>
      </c>
      <c r="T107" s="15">
        <v>5120.6000000000004</v>
      </c>
      <c r="U107" s="15">
        <v>5335.2</v>
      </c>
      <c r="V107" s="15">
        <v>4898.1000000000004</v>
      </c>
      <c r="W107" s="14">
        <f>IF(AND(O107&gt;S107,P107&gt;T107,Q107&gt;U107,R107&gt;V107),1,0)</f>
        <v>0</v>
      </c>
      <c r="X107" s="12">
        <v>17627.04</v>
      </c>
      <c r="Y107" s="12">
        <v>17178.86</v>
      </c>
      <c r="Z107" s="12">
        <v>22.3</v>
      </c>
      <c r="AA107" s="12">
        <v>25.29</v>
      </c>
      <c r="AB107" s="14">
        <f>IF(AND(X107&gt;Y107,Z107&gt;=AA107,X107&gt;0),1,0)</f>
        <v>0</v>
      </c>
      <c r="AC107" s="12" t="str">
        <f>IF(X107&gt;J107,"Yes","No")</f>
        <v>No</v>
      </c>
      <c r="AD107" s="14">
        <f>IF(X107&gt;J107,1,0)</f>
        <v>0</v>
      </c>
      <c r="AE107" s="16">
        <v>43893.3</v>
      </c>
      <c r="AF107" s="16">
        <v>14334.1</v>
      </c>
      <c r="AG107" s="17">
        <f>AE107/AF107</f>
        <v>3.0621594658890339</v>
      </c>
      <c r="AH107" s="16">
        <v>41065.5</v>
      </c>
      <c r="AI107" s="16">
        <v>13690.4</v>
      </c>
      <c r="AJ107" s="17">
        <f>AH107/AI107</f>
        <v>2.999583649856834</v>
      </c>
      <c r="AK107" s="18">
        <f>IF(AG107&gt;=AJ107,1,0)</f>
        <v>1</v>
      </c>
      <c r="AL107" s="19">
        <v>0</v>
      </c>
      <c r="AM107" s="19">
        <v>0</v>
      </c>
      <c r="AN107" s="18">
        <f>IF(AL107&lt;=AM107,1,0)</f>
        <v>1</v>
      </c>
      <c r="AO107" s="19">
        <v>0.84</v>
      </c>
      <c r="AP107" s="19">
        <v>0.8</v>
      </c>
      <c r="AQ107" s="18">
        <f>IF(AO107&gt;AP107,1,0)</f>
        <v>1</v>
      </c>
      <c r="AR107" s="19">
        <v>33.369999999999997</v>
      </c>
      <c r="AS107" s="19">
        <v>35.67</v>
      </c>
      <c r="AT107" s="14">
        <f>IF(AR107&gt;=AS107,1,0)</f>
        <v>0</v>
      </c>
      <c r="AU107" s="20">
        <f>SUM(I107,N107,AB107,AD107,AK107,AN107,AQ107,AT107,F107,W107)</f>
        <v>4</v>
      </c>
    </row>
    <row r="108" spans="1:47" customFormat="1" ht="15.6" x14ac:dyDescent="0.3">
      <c r="A108" s="11">
        <v>107</v>
      </c>
      <c r="B108" s="12" t="s">
        <v>152</v>
      </c>
      <c r="C108" s="13">
        <v>403304.91</v>
      </c>
      <c r="D108" s="12">
        <v>23.76</v>
      </c>
      <c r="E108" s="12">
        <v>29.47</v>
      </c>
      <c r="F108" s="14">
        <f>IF(OR(D108&gt;=E108,D108=0),0,1)</f>
        <v>1</v>
      </c>
      <c r="G108" s="12">
        <v>5.66</v>
      </c>
      <c r="H108" s="12">
        <v>2.72</v>
      </c>
      <c r="I108" s="14">
        <f>IF(AND(H108&lt;=1,H108&gt;0),1,0)</f>
        <v>0</v>
      </c>
      <c r="J108" s="12">
        <v>17399</v>
      </c>
      <c r="K108" s="12">
        <v>15710</v>
      </c>
      <c r="L108" s="12">
        <v>14.73</v>
      </c>
      <c r="M108" s="12">
        <v>14.18</v>
      </c>
      <c r="N108" s="14">
        <f>IF(AND(J108&gt;K108,L108&gt;=M108),1,0)</f>
        <v>1</v>
      </c>
      <c r="O108" s="15">
        <v>3843</v>
      </c>
      <c r="P108" s="15">
        <v>4307</v>
      </c>
      <c r="Q108" s="15">
        <v>4591</v>
      </c>
      <c r="R108" s="15">
        <v>4235</v>
      </c>
      <c r="S108" s="15">
        <v>4257</v>
      </c>
      <c r="T108" s="15">
        <v>3986</v>
      </c>
      <c r="U108" s="15">
        <v>4350</v>
      </c>
      <c r="V108" s="15">
        <v>3832</v>
      </c>
      <c r="W108" s="14">
        <f>IF(AND(O108&gt;S108,P108&gt;T108,Q108&gt;U108,R108&gt;V108),1,0)</f>
        <v>0</v>
      </c>
      <c r="X108" s="12">
        <v>22261</v>
      </c>
      <c r="Y108" s="12">
        <v>22448</v>
      </c>
      <c r="Z108" s="12">
        <v>18.18</v>
      </c>
      <c r="AA108" s="12">
        <v>20.420000000000002</v>
      </c>
      <c r="AB108" s="14">
        <f>IF(AND(X108&gt;Y108,Z108&gt;=AA108,X108&gt;0),1,0)</f>
        <v>0</v>
      </c>
      <c r="AC108" s="12" t="str">
        <f>IF(X108&gt;J108,"Yes","No")</f>
        <v>Yes</v>
      </c>
      <c r="AD108" s="14">
        <f>IF(X108&gt;J108,1,0)</f>
        <v>1</v>
      </c>
      <c r="AE108" s="25">
        <v>62109</v>
      </c>
      <c r="AF108" s="25">
        <v>28039</v>
      </c>
      <c r="AG108" s="17">
        <f>AE108/AF108</f>
        <v>2.2150932629551696</v>
      </c>
      <c r="AH108" s="25">
        <v>59331</v>
      </c>
      <c r="AI108" s="25">
        <v>22726</v>
      </c>
      <c r="AJ108" s="17">
        <f>AH108/AI108</f>
        <v>2.6107101997711872</v>
      </c>
      <c r="AK108" s="18">
        <f>IF(AG108&gt;=AJ108,1,0)</f>
        <v>0</v>
      </c>
      <c r="AL108" s="19">
        <v>0</v>
      </c>
      <c r="AM108" s="19">
        <v>0.03</v>
      </c>
      <c r="AN108" s="18">
        <f>IF(AL108&lt;=AM108,1,0)</f>
        <v>1</v>
      </c>
      <c r="AO108" s="19">
        <v>1.1399999999999999</v>
      </c>
      <c r="AP108" s="19">
        <v>1.1399999999999999</v>
      </c>
      <c r="AQ108" s="18">
        <f>IF(AO108&gt;AP108,1,0)</f>
        <v>0</v>
      </c>
      <c r="AR108" s="19">
        <v>21.34</v>
      </c>
      <c r="AS108" s="19">
        <v>21.72</v>
      </c>
      <c r="AT108" s="14">
        <f>IF(AR108&gt;=AS108,1,0)</f>
        <v>0</v>
      </c>
      <c r="AU108" s="20">
        <f>SUM(I108,N108,AB108,AD108,AK108,AN108,AQ108,AT108,F108,W108)</f>
        <v>4</v>
      </c>
    </row>
    <row r="109" spans="1:47" customFormat="1" ht="15.6" x14ac:dyDescent="0.3">
      <c r="A109" s="11">
        <v>108</v>
      </c>
      <c r="B109" s="12" t="s">
        <v>153</v>
      </c>
      <c r="C109" s="13">
        <v>239606.88</v>
      </c>
      <c r="D109" s="12">
        <v>7.23</v>
      </c>
      <c r="E109" s="12">
        <v>14.35</v>
      </c>
      <c r="F109" s="14">
        <f>IF(OR(D109&gt;=E109,D109=0),0,1)</f>
        <v>1</v>
      </c>
      <c r="G109" s="12">
        <v>2.42</v>
      </c>
      <c r="H109" s="12">
        <v>0.27</v>
      </c>
      <c r="I109" s="14">
        <f>IF(AND(H109&lt;=1,H109&gt;0),1,0)</f>
        <v>1</v>
      </c>
      <c r="J109" s="12">
        <v>35302.1</v>
      </c>
      <c r="K109" s="12">
        <v>37369.129999999997</v>
      </c>
      <c r="L109" s="12">
        <v>24.62</v>
      </c>
      <c r="M109" s="12">
        <v>25.8</v>
      </c>
      <c r="N109" s="14">
        <f>IF(AND(J109&gt;K109,L109&gt;=M109),1,0)</f>
        <v>0</v>
      </c>
      <c r="O109" s="15">
        <v>8743.4</v>
      </c>
      <c r="P109" s="15">
        <v>9604</v>
      </c>
      <c r="Q109" s="15">
        <v>8505.6</v>
      </c>
      <c r="R109" s="15">
        <v>6289.1</v>
      </c>
      <c r="S109" s="15">
        <v>10959.5</v>
      </c>
      <c r="T109" s="15">
        <v>8682.2000000000007</v>
      </c>
      <c r="U109" s="15">
        <v>10130.200000000001</v>
      </c>
      <c r="V109" s="15">
        <v>6799.8</v>
      </c>
      <c r="W109" s="14">
        <f>IF(AND(O109&gt;S109,P109&gt;T109,Q109&gt;U109,R109&gt;V109),1,0)</f>
        <v>0</v>
      </c>
      <c r="X109" s="12">
        <v>29199.66</v>
      </c>
      <c r="Y109" s="12">
        <v>18103.099999999999</v>
      </c>
      <c r="Z109" s="12">
        <v>20.68</v>
      </c>
      <c r="AA109" s="12">
        <v>12.51</v>
      </c>
      <c r="AB109" s="14">
        <f>IF(AND(X109&gt;Y109,Z109&gt;=AA109,X109&gt;0),1,0)</f>
        <v>1</v>
      </c>
      <c r="AC109" s="12" t="str">
        <f>IF(X109&gt;J109,"Yes","No")</f>
        <v>No</v>
      </c>
      <c r="AD109" s="14">
        <f>IF(X109&gt;J109,1,0)</f>
        <v>0</v>
      </c>
      <c r="AE109" s="16">
        <v>96193.4</v>
      </c>
      <c r="AF109" s="16">
        <v>64741.7</v>
      </c>
      <c r="AG109" s="17">
        <f>AE109/AF109</f>
        <v>1.485802813333601</v>
      </c>
      <c r="AH109" s="16">
        <v>103883.4</v>
      </c>
      <c r="AI109" s="16">
        <v>61272.5</v>
      </c>
      <c r="AJ109" s="17">
        <f>AH109/AI109</f>
        <v>1.6954326981925005</v>
      </c>
      <c r="AK109" s="18">
        <f>IF(AG109&gt;=AJ109,1,0)</f>
        <v>0</v>
      </c>
      <c r="AL109" s="19">
        <v>7.0000000000000007E-2</v>
      </c>
      <c r="AM109" s="19">
        <v>7.0000000000000007E-2</v>
      </c>
      <c r="AN109" s="18">
        <f>IF(AL109&lt;=AM109,1,0)</f>
        <v>1</v>
      </c>
      <c r="AO109" s="19">
        <v>0.57999999999999996</v>
      </c>
      <c r="AP109" s="19">
        <v>0.63</v>
      </c>
      <c r="AQ109" s="18">
        <f>IF(AO109&gt;AP109,1,0)</f>
        <v>0</v>
      </c>
      <c r="AR109" s="19">
        <v>30.79</v>
      </c>
      <c r="AS109" s="19">
        <v>31.92</v>
      </c>
      <c r="AT109" s="14">
        <f>IF(AR109&gt;=AS109,1,0)</f>
        <v>0</v>
      </c>
      <c r="AU109" s="20">
        <f>SUM(I109,N109,AB109,AD109,AK109,AN109,AQ109,AT109,F109,W109)</f>
        <v>4</v>
      </c>
    </row>
    <row r="110" spans="1:47" customFormat="1" ht="15.6" x14ac:dyDescent="0.3">
      <c r="A110" s="11">
        <v>109</v>
      </c>
      <c r="B110" s="12" t="s">
        <v>154</v>
      </c>
      <c r="C110" s="13">
        <v>226077.19</v>
      </c>
      <c r="D110" s="12">
        <v>33.799999999999997</v>
      </c>
      <c r="E110" s="12">
        <v>33.799999999999997</v>
      </c>
      <c r="F110" s="14">
        <f>IF(OR(D110&gt;=E110,D110=0),0,1)</f>
        <v>0</v>
      </c>
      <c r="G110" s="12">
        <v>24.28</v>
      </c>
      <c r="H110" s="12">
        <v>0.79</v>
      </c>
      <c r="I110" s="14">
        <f>IF(AND(H110&lt;=1,H110&gt;0),1,0)</f>
        <v>1</v>
      </c>
      <c r="J110" s="12">
        <v>7253.3</v>
      </c>
      <c r="K110" s="12">
        <v>8167.5</v>
      </c>
      <c r="L110" s="12">
        <v>7.22</v>
      </c>
      <c r="M110" s="12">
        <v>10.41</v>
      </c>
      <c r="N110" s="14">
        <f>IF(AND(J110&gt;K110,L110&gt;=M110),1,0)</f>
        <v>0</v>
      </c>
      <c r="O110" s="15">
        <v>3067.5</v>
      </c>
      <c r="P110" s="15">
        <v>2448.8000000000002</v>
      </c>
      <c r="Q110" s="15">
        <v>-986.7</v>
      </c>
      <c r="R110" s="15">
        <v>2728.8</v>
      </c>
      <c r="S110" s="15">
        <v>1894.8</v>
      </c>
      <c r="T110" s="15">
        <v>2998.1</v>
      </c>
      <c r="U110" s="15">
        <v>188.9</v>
      </c>
      <c r="V110" s="15">
        <v>3090.6</v>
      </c>
      <c r="W110" s="14">
        <f>IF(AND(O110&gt;S110,P110&gt;T110,Q110&gt;U110,R110&gt;V110),1,0)</f>
        <v>0</v>
      </c>
      <c r="X110" s="12">
        <v>24064.7</v>
      </c>
      <c r="Y110" s="12">
        <v>21182.799999999999</v>
      </c>
      <c r="Z110" s="12">
        <v>29.44</v>
      </c>
      <c r="AA110" s="12">
        <v>30.74</v>
      </c>
      <c r="AB110" s="14">
        <f>IF(AND(X110&gt;Y110,Z110&gt;=AA110,X110&gt;0),1,0)</f>
        <v>0</v>
      </c>
      <c r="AC110" s="12" t="str">
        <f>IF(X110&gt;J110,"Yes","No")</f>
        <v>Yes</v>
      </c>
      <c r="AD110" s="14">
        <f>IF(X110&gt;J110,1,0)</f>
        <v>1</v>
      </c>
      <c r="AE110" s="16">
        <v>50703.1</v>
      </c>
      <c r="AF110" s="16">
        <v>34217.800000000003</v>
      </c>
      <c r="AG110" s="17">
        <f>AE110/AF110</f>
        <v>1.4817755671025021</v>
      </c>
      <c r="AH110" s="16">
        <v>35853.1</v>
      </c>
      <c r="AI110" s="16">
        <v>30798.3</v>
      </c>
      <c r="AJ110" s="17">
        <f>AH110/AI110</f>
        <v>1.1641259420162802</v>
      </c>
      <c r="AK110" s="18">
        <f>IF(AG110&gt;=AJ110,1,0)</f>
        <v>1</v>
      </c>
      <c r="AL110" s="19">
        <v>0</v>
      </c>
      <c r="AM110" s="19">
        <v>0</v>
      </c>
      <c r="AN110" s="18">
        <f>IF(AL110&lt;=AM110,1,0)</f>
        <v>1</v>
      </c>
      <c r="AO110" s="19">
        <v>0.82</v>
      </c>
      <c r="AP110" s="19">
        <v>0.97</v>
      </c>
      <c r="AQ110" s="18">
        <f>IF(AO110&gt;AP110,1,0)</f>
        <v>0</v>
      </c>
      <c r="AR110" s="19">
        <v>21.47</v>
      </c>
      <c r="AS110" s="19">
        <v>22.91</v>
      </c>
      <c r="AT110" s="14">
        <f>IF(AR110&gt;=AS110,1,0)</f>
        <v>0</v>
      </c>
      <c r="AU110" s="20">
        <f>SUM(I110,N110,AB110,AD110,AK110,AN110,AQ110,AT110,F110,W110)</f>
        <v>4</v>
      </c>
    </row>
    <row r="111" spans="1:47" customFormat="1" ht="15.6" x14ac:dyDescent="0.3">
      <c r="A111" s="11">
        <v>110</v>
      </c>
      <c r="B111" s="12" t="s">
        <v>155</v>
      </c>
      <c r="C111" s="13">
        <v>214991.3</v>
      </c>
      <c r="D111" s="12">
        <v>44.93</v>
      </c>
      <c r="E111" s="12">
        <v>21.73</v>
      </c>
      <c r="F111" s="14">
        <f>IF(OR(D111&gt;=E111,D111=0),0,1)</f>
        <v>0</v>
      </c>
      <c r="G111" s="12">
        <v>2.36</v>
      </c>
      <c r="H111" s="12">
        <v>-0.81</v>
      </c>
      <c r="I111" s="14">
        <f>IF(AND(H111&lt;=1,H111&gt;0),1,0)</f>
        <v>0</v>
      </c>
      <c r="J111" s="12">
        <v>3173.78</v>
      </c>
      <c r="K111" s="12">
        <v>-4909.6099999999997</v>
      </c>
      <c r="L111" s="12">
        <v>1.52</v>
      </c>
      <c r="M111" s="12">
        <v>3.09</v>
      </c>
      <c r="N111" s="14">
        <f>IF(AND(J111&gt;K111,L111&gt;=M111),1,0)</f>
        <v>0</v>
      </c>
      <c r="O111" s="15">
        <v>1300.8</v>
      </c>
      <c r="P111" s="15">
        <v>326.60000000000002</v>
      </c>
      <c r="Q111" s="15">
        <v>833.5</v>
      </c>
      <c r="R111" s="15">
        <v>959.6</v>
      </c>
      <c r="S111" s="15">
        <v>611.5</v>
      </c>
      <c r="T111" s="15">
        <v>513.4</v>
      </c>
      <c r="U111" s="15">
        <v>-6196.2</v>
      </c>
      <c r="V111" s="15">
        <v>634</v>
      </c>
      <c r="W111" s="14">
        <f>IF(AND(O111&gt;S111,P111&gt;T111,Q111&gt;U111,R111&gt;V111),1,0)</f>
        <v>0</v>
      </c>
      <c r="X111" s="12">
        <v>23511.81</v>
      </c>
      <c r="Y111" s="12">
        <v>20300.669999999998</v>
      </c>
      <c r="Z111" s="12">
        <v>10.84</v>
      </c>
      <c r="AA111" s="12">
        <v>8.86</v>
      </c>
      <c r="AB111" s="14">
        <f>IF(AND(X111&gt;Y111,Z111&gt;=AA111,X111&gt;0),1,0)</f>
        <v>1</v>
      </c>
      <c r="AC111" s="12" t="str">
        <f>IF(X111&gt;J111,"Yes","No")</f>
        <v>Yes</v>
      </c>
      <c r="AD111" s="14">
        <f>IF(X111&gt;J111,1,0)</f>
        <v>1</v>
      </c>
      <c r="AE111" s="16">
        <v>68391.5</v>
      </c>
      <c r="AF111" s="16">
        <v>86093.6</v>
      </c>
      <c r="AG111" s="17">
        <f>AE111/AF111</f>
        <v>0.7943854130852932</v>
      </c>
      <c r="AH111" s="16">
        <v>70548.2</v>
      </c>
      <c r="AI111" s="16">
        <v>98403.5</v>
      </c>
      <c r="AJ111" s="17">
        <f>AH111/AI111</f>
        <v>0.71692775155355248</v>
      </c>
      <c r="AK111" s="18">
        <f>IF(AG111&gt;=AJ111,1,0)</f>
        <v>1</v>
      </c>
      <c r="AL111" s="19">
        <v>0.75</v>
      </c>
      <c r="AM111" s="19">
        <v>0.56000000000000005</v>
      </c>
      <c r="AN111" s="18">
        <f>IF(AL111&lt;=AM111,1,0)</f>
        <v>0</v>
      </c>
      <c r="AO111" s="19">
        <v>0.79</v>
      </c>
      <c r="AP111" s="19">
        <v>0.82</v>
      </c>
      <c r="AQ111" s="18">
        <f>IF(AO111&gt;AP111,1,0)</f>
        <v>0</v>
      </c>
      <c r="AR111" s="19">
        <v>11.49</v>
      </c>
      <c r="AS111" s="19">
        <v>9.66</v>
      </c>
      <c r="AT111" s="14">
        <f>IF(AR111&gt;=AS111,1,0)</f>
        <v>1</v>
      </c>
      <c r="AU111" s="20">
        <f>SUM(I111,N111,AB111,AD111,AK111,AN111,AQ111,AT111,F111,W111)</f>
        <v>4</v>
      </c>
    </row>
    <row r="112" spans="1:47" customFormat="1" ht="15.6" x14ac:dyDescent="0.3">
      <c r="A112" s="11">
        <v>111</v>
      </c>
      <c r="B112" s="12" t="s">
        <v>156</v>
      </c>
      <c r="C112" s="13">
        <v>193160.27</v>
      </c>
      <c r="D112" s="12">
        <v>39.92</v>
      </c>
      <c r="E112" s="12">
        <v>33.65</v>
      </c>
      <c r="F112" s="14">
        <f>IF(OR(D112&gt;=E112,D112=0),0,1)</f>
        <v>0</v>
      </c>
      <c r="G112" s="12">
        <v>9.07</v>
      </c>
      <c r="H112" s="12">
        <v>0.97</v>
      </c>
      <c r="I112" s="14">
        <f>IF(AND(H112&lt;=1,H112&gt;0),1,0)</f>
        <v>1</v>
      </c>
      <c r="J112" s="12">
        <v>4734.4399999999996</v>
      </c>
      <c r="K112" s="12">
        <v>4001.01</v>
      </c>
      <c r="L112" s="12">
        <v>25.12</v>
      </c>
      <c r="M112" s="12">
        <v>24.2</v>
      </c>
      <c r="N112" s="14">
        <f>IF(AND(J112&gt;K112,L112&gt;=M112),1,0)</f>
        <v>1</v>
      </c>
      <c r="O112" s="15">
        <v>1495.9</v>
      </c>
      <c r="P112" s="15">
        <v>899</v>
      </c>
      <c r="Q112" s="15">
        <v>389.9</v>
      </c>
      <c r="R112" s="15">
        <v>1207.9000000000001</v>
      </c>
      <c r="S112" s="15">
        <v>1369.8</v>
      </c>
      <c r="T112" s="15">
        <v>1514.4</v>
      </c>
      <c r="U112" s="15">
        <v>1163.8</v>
      </c>
      <c r="V112" s="15">
        <v>1576.5</v>
      </c>
      <c r="W112" s="14">
        <f>IF(AND(O112&gt;S112,P112&gt;T112,Q112&gt;U112,R112&gt;V112),1,0)</f>
        <v>0</v>
      </c>
      <c r="X112" s="12">
        <v>3979.92</v>
      </c>
      <c r="Y112" s="12">
        <v>3723.71</v>
      </c>
      <c r="Z112" s="12">
        <v>20.39</v>
      </c>
      <c r="AA112" s="12">
        <v>22.52</v>
      </c>
      <c r="AB112" s="14">
        <f>IF(AND(X112&gt;Y112,Z112&gt;=AA112,X112&gt;0),1,0)</f>
        <v>0</v>
      </c>
      <c r="AC112" s="12" t="str">
        <f>IF(X112&gt;J112,"Yes","No")</f>
        <v>No</v>
      </c>
      <c r="AD112" s="14">
        <f>IF(X112&gt;J112,1,0)</f>
        <v>0</v>
      </c>
      <c r="AE112" s="16">
        <v>6954.2</v>
      </c>
      <c r="AF112" s="16">
        <v>4265.8</v>
      </c>
      <c r="AG112" s="17">
        <f>AE112/AF112</f>
        <v>1.630221763795771</v>
      </c>
      <c r="AH112" s="16">
        <v>4151.3</v>
      </c>
      <c r="AI112" s="16">
        <v>3598.4</v>
      </c>
      <c r="AJ112" s="17">
        <f>AH112/AI112</f>
        <v>1.1536516229435305</v>
      </c>
      <c r="AK112" s="18">
        <f>IF(AG112&gt;=AJ112,1,0)</f>
        <v>1</v>
      </c>
      <c r="AL112" s="19">
        <v>0.01</v>
      </c>
      <c r="AM112" s="19">
        <v>0.01</v>
      </c>
      <c r="AN112" s="18">
        <f>IF(AL112&lt;=AM112,1,0)</f>
        <v>1</v>
      </c>
      <c r="AO112" s="19">
        <v>0.75</v>
      </c>
      <c r="AP112" s="19">
        <v>0.78</v>
      </c>
      <c r="AQ112" s="18">
        <f>IF(AO112&gt;AP112,1,0)</f>
        <v>0</v>
      </c>
      <c r="AR112" s="19">
        <v>23.36</v>
      </c>
      <c r="AS112" s="19">
        <v>24.57</v>
      </c>
      <c r="AT112" s="14">
        <f>IF(AR112&gt;=AS112,1,0)</f>
        <v>0</v>
      </c>
      <c r="AU112" s="20">
        <f>SUM(I112,N112,AB112,AD112,AK112,AN112,AQ112,AT112,F112,W112)</f>
        <v>4</v>
      </c>
    </row>
    <row r="113" spans="1:47" customFormat="1" ht="15.6" x14ac:dyDescent="0.3">
      <c r="A113" s="11">
        <v>112</v>
      </c>
      <c r="B113" s="22" t="s">
        <v>157</v>
      </c>
      <c r="C113" s="23">
        <v>168214.55</v>
      </c>
      <c r="D113" s="24">
        <v>90.55</v>
      </c>
      <c r="E113" s="24">
        <v>28.52</v>
      </c>
      <c r="F113" s="14">
        <f>IF(OR(D113&gt;=E113,D113=0),0,1)</f>
        <v>0</v>
      </c>
      <c r="G113" s="24">
        <v>13.53</v>
      </c>
      <c r="H113" s="24">
        <v>1.6</v>
      </c>
      <c r="I113" s="14">
        <f>IF(AND(H113&lt;=1,H113&gt;0),1,0)</f>
        <v>0</v>
      </c>
      <c r="J113" s="24">
        <v>2001</v>
      </c>
      <c r="K113" s="24">
        <v>1260</v>
      </c>
      <c r="L113" s="24">
        <v>20.57</v>
      </c>
      <c r="M113" s="24">
        <v>15.69</v>
      </c>
      <c r="N113" s="14">
        <f>IF(AND(J113&gt;K113,L113&gt;=M113),1,0)</f>
        <v>1</v>
      </c>
      <c r="O113" s="15">
        <v>5283</v>
      </c>
      <c r="P113" s="15">
        <v>3735</v>
      </c>
      <c r="Q113" s="15">
        <v>3909</v>
      </c>
      <c r="R113" s="15">
        <v>3074</v>
      </c>
      <c r="S113" s="15">
        <v>3174</v>
      </c>
      <c r="T113" s="15">
        <v>2331</v>
      </c>
      <c r="U113" s="15">
        <v>2196</v>
      </c>
      <c r="V113" s="15">
        <v>2454</v>
      </c>
      <c r="W113" s="14">
        <f>IF(AND(O113&gt;S113,P113&gt;T113,Q113&gt;U113,R113&gt;V113),1,0)</f>
        <v>1</v>
      </c>
      <c r="X113" s="24">
        <v>8364</v>
      </c>
      <c r="Y113" s="24">
        <v>7713</v>
      </c>
      <c r="Z113" s="24">
        <v>68.180000000000007</v>
      </c>
      <c r="AA113" s="24">
        <v>83.66</v>
      </c>
      <c r="AB113" s="14">
        <f>IF(AND(X113&gt;Y113,Z113&gt;=AA113,X113&gt;0),1,0)</f>
        <v>0</v>
      </c>
      <c r="AC113" s="12" t="str">
        <f>IF(X113&gt;J113,"Yes","No")</f>
        <v>Yes</v>
      </c>
      <c r="AD113" s="14">
        <f>IF(X113&gt;J113,1,0)</f>
        <v>1</v>
      </c>
      <c r="AE113" s="25">
        <v>8622</v>
      </c>
      <c r="AF113" s="25">
        <v>16888</v>
      </c>
      <c r="AG113" s="17">
        <f>AE113/AF113</f>
        <v>0.51054002842254853</v>
      </c>
      <c r="AH113" s="25">
        <v>13863</v>
      </c>
      <c r="AI113" s="25">
        <v>26814</v>
      </c>
      <c r="AJ113" s="17">
        <f>AH113/AI113</f>
        <v>0.51700604162004926</v>
      </c>
      <c r="AK113" s="18">
        <f>IF(AG113&gt;=AJ113,1,0)</f>
        <v>0</v>
      </c>
      <c r="AL113" s="19">
        <v>6.29</v>
      </c>
      <c r="AM113" s="19">
        <v>4.82</v>
      </c>
      <c r="AN113" s="18">
        <f>IF(AL113&lt;=AM113,1,0)</f>
        <v>0</v>
      </c>
      <c r="AO113" s="19">
        <v>0.11</v>
      </c>
      <c r="AP113" s="19">
        <v>0.12</v>
      </c>
      <c r="AQ113" s="18">
        <f>IF(AO113&gt;AP113,1,0)</f>
        <v>0</v>
      </c>
      <c r="AR113" s="19">
        <v>71.459999999999994</v>
      </c>
      <c r="AS113" s="19">
        <v>69.760000000000005</v>
      </c>
      <c r="AT113" s="14">
        <f>IF(AR113&gt;=AS113,1,0)</f>
        <v>1</v>
      </c>
      <c r="AU113" s="20">
        <f>SUM(I113,N113,AB113,AD113,AK113,AN113,AQ113,AT113,F113,W113)</f>
        <v>4</v>
      </c>
    </row>
    <row r="114" spans="1:47" customFormat="1" ht="15.6" x14ac:dyDescent="0.3">
      <c r="A114" s="11">
        <v>113</v>
      </c>
      <c r="B114" s="22" t="s">
        <v>158</v>
      </c>
      <c r="C114" s="23">
        <v>146041.26</v>
      </c>
      <c r="D114" s="24">
        <v>6.76</v>
      </c>
      <c r="E114" s="24">
        <v>35.46</v>
      </c>
      <c r="F114" s="14">
        <f>IF(OR(D114&gt;=E114,D114=0),0,1)</f>
        <v>1</v>
      </c>
      <c r="G114" s="24">
        <v>1.26</v>
      </c>
      <c r="H114" s="24">
        <v>0.1</v>
      </c>
      <c r="I114" s="14">
        <f>IF(AND(H114&lt;=1,H114&gt;0),1,0)</f>
        <v>1</v>
      </c>
      <c r="J114" s="24">
        <v>28149</v>
      </c>
      <c r="K114" s="24">
        <v>31807</v>
      </c>
      <c r="L114" s="24">
        <v>6.49</v>
      </c>
      <c r="M114" s="24">
        <v>7.51</v>
      </c>
      <c r="N114" s="14">
        <f>IF(AND(J114&gt;K114,L114&gt;=M114),1,0)</f>
        <v>0</v>
      </c>
      <c r="O114" s="15">
        <v>8470</v>
      </c>
      <c r="P114" s="15">
        <v>5451</v>
      </c>
      <c r="Q114" s="15">
        <v>3343</v>
      </c>
      <c r="R114" s="15">
        <v>5566</v>
      </c>
      <c r="S114" s="15">
        <v>17407.2</v>
      </c>
      <c r="T114" s="15">
        <v>7025.1</v>
      </c>
      <c r="U114" s="15">
        <v>3764</v>
      </c>
      <c r="V114" s="15">
        <v>3202.8</v>
      </c>
      <c r="W114" s="14">
        <f>IF(AND(O114&gt;S114,P114&gt;T114,Q114&gt;U114,R114&gt;V114),1,0)</f>
        <v>0</v>
      </c>
      <c r="X114" s="24">
        <v>63102</v>
      </c>
      <c r="Y114" s="24">
        <v>67915</v>
      </c>
      <c r="Z114" s="24">
        <v>14.41</v>
      </c>
      <c r="AA114" s="24">
        <v>15.65</v>
      </c>
      <c r="AB114" s="14">
        <f>IF(AND(X114&gt;Y114,Z114&gt;=AA114,X114&gt;0),1,0)</f>
        <v>0</v>
      </c>
      <c r="AC114" s="12" t="str">
        <f>IF(X114&gt;J114,"Yes","No")</f>
        <v>Yes</v>
      </c>
      <c r="AD114" s="14">
        <f>IF(X114&gt;J114,1,0)</f>
        <v>1</v>
      </c>
      <c r="AE114" s="25">
        <v>160325</v>
      </c>
      <c r="AF114" s="25">
        <v>166684</v>
      </c>
      <c r="AG114" s="17">
        <f>AE114/AF114</f>
        <v>0.96184996760336927</v>
      </c>
      <c r="AH114" s="16">
        <v>168392.2</v>
      </c>
      <c r="AI114" s="25">
        <v>173617</v>
      </c>
      <c r="AJ114" s="17">
        <f>AH114/AI114</f>
        <v>0.96990617278261926</v>
      </c>
      <c r="AK114" s="18">
        <f>IF(AG114&gt;=AJ114,1,0)</f>
        <v>0</v>
      </c>
      <c r="AL114" s="19">
        <v>0.35</v>
      </c>
      <c r="AM114" s="19">
        <v>0.73</v>
      </c>
      <c r="AN114" s="18">
        <f>IF(AL114&lt;=AM114,1,0)</f>
        <v>1</v>
      </c>
      <c r="AO114" s="19">
        <v>1.17</v>
      </c>
      <c r="AP114" s="19">
        <v>1.24</v>
      </c>
      <c r="AQ114" s="18">
        <f>IF(AO114&gt;AP114,1,0)</f>
        <v>0</v>
      </c>
      <c r="AR114" s="19">
        <v>12.59</v>
      </c>
      <c r="AS114" s="19">
        <v>13.41</v>
      </c>
      <c r="AT114" s="14">
        <f>IF(AR114&gt;=AS114,1,0)</f>
        <v>0</v>
      </c>
      <c r="AU114" s="20">
        <f>SUM(I114,N114,AB114,AD114,AK114,AN114,AQ114,AT114,F114,W114)</f>
        <v>4</v>
      </c>
    </row>
    <row r="115" spans="1:47" customFormat="1" ht="15.6" x14ac:dyDescent="0.3">
      <c r="A115" s="11">
        <v>114</v>
      </c>
      <c r="B115" s="22" t="s">
        <v>159</v>
      </c>
      <c r="C115" s="23">
        <v>133869.66</v>
      </c>
      <c r="D115" s="24">
        <v>21.75</v>
      </c>
      <c r="E115" s="24">
        <v>22.82</v>
      </c>
      <c r="F115" s="14">
        <f>IF(OR(D115&gt;=E115,D115=0),0,1)</f>
        <v>1</v>
      </c>
      <c r="G115" s="24">
        <v>4.5599999999999996</v>
      </c>
      <c r="H115" s="24">
        <v>2.19</v>
      </c>
      <c r="I115" s="14">
        <f>IF(AND(H115&lt;=1,H115&gt;0),1,0)</f>
        <v>0</v>
      </c>
      <c r="J115" s="24">
        <v>5352.36</v>
      </c>
      <c r="K115" s="24">
        <v>4467.6000000000004</v>
      </c>
      <c r="L115" s="24">
        <v>26.48</v>
      </c>
      <c r="M115" s="24">
        <v>29.66</v>
      </c>
      <c r="N115" s="14">
        <f>IF(AND(J115&gt;K115,L115&gt;=M115),1,0)</f>
        <v>0</v>
      </c>
      <c r="O115" s="15">
        <v>1477.7</v>
      </c>
      <c r="P115" s="15">
        <v>1389.2</v>
      </c>
      <c r="Q115" s="15">
        <v>1271.5999999999999</v>
      </c>
      <c r="R115" s="15">
        <v>1164</v>
      </c>
      <c r="S115" s="15">
        <v>1139.0999999999999</v>
      </c>
      <c r="T115" s="15">
        <v>1103.5</v>
      </c>
      <c r="U115" s="15">
        <v>1059.5999999999999</v>
      </c>
      <c r="V115" s="15">
        <v>1022.1</v>
      </c>
      <c r="W115" s="14">
        <f>IF(AND(O115&gt;S115,P115&gt;T115,Q115&gt;U115,R115&gt;V115),1,0)</f>
        <v>1</v>
      </c>
      <c r="X115" s="24">
        <v>-26524.89</v>
      </c>
      <c r="Y115" s="24">
        <v>-13605.49</v>
      </c>
      <c r="Z115" s="24">
        <v>-119.53</v>
      </c>
      <c r="AA115" s="24">
        <v>-90.33</v>
      </c>
      <c r="AB115" s="14">
        <f>IF(AND(X115&gt;Y115,Z115&gt;=AA115,X115&gt;0),1,0)</f>
        <v>0</v>
      </c>
      <c r="AC115" s="12" t="str">
        <f>IF(X115&gt;J115,"Yes","No")</f>
        <v>No</v>
      </c>
      <c r="AD115" s="14">
        <f>IF(X115&gt;J115,1,0)</f>
        <v>0</v>
      </c>
      <c r="AE115" s="16">
        <v>131789.1</v>
      </c>
      <c r="AF115" s="16">
        <v>101990.7</v>
      </c>
      <c r="AG115" s="17">
        <f>AE115/AF115</f>
        <v>1.2921678153008069</v>
      </c>
      <c r="AH115" s="16">
        <v>95603.1</v>
      </c>
      <c r="AI115" s="16">
        <v>70155.899999999994</v>
      </c>
      <c r="AJ115" s="17">
        <f>AH115/AI115</f>
        <v>1.3627235913159124</v>
      </c>
      <c r="AK115" s="18">
        <f>IF(AG115&gt;=AJ115,1,0)</f>
        <v>0</v>
      </c>
      <c r="AL115" s="19">
        <v>0</v>
      </c>
      <c r="AM115" s="19">
        <v>0</v>
      </c>
      <c r="AN115" s="18">
        <f>IF(AL115&lt;=AM115,1,0)</f>
        <v>1</v>
      </c>
      <c r="AO115" s="19">
        <v>0.18</v>
      </c>
      <c r="AP115" s="19">
        <v>0.17</v>
      </c>
      <c r="AQ115" s="18">
        <f>IF(AO115&gt;AP115,1,0)</f>
        <v>1</v>
      </c>
      <c r="AR115" s="19">
        <v>72.25</v>
      </c>
      <c r="AS115" s="19">
        <v>75.3</v>
      </c>
      <c r="AT115" s="14">
        <f>IF(AR115&gt;=AS115,1,0)</f>
        <v>0</v>
      </c>
      <c r="AU115" s="20">
        <f>SUM(I115,N115,AB115,AD115,AK115,AN115,AQ115,AT115,F115,W115)</f>
        <v>4</v>
      </c>
    </row>
    <row r="116" spans="1:47" customFormat="1" ht="15.6" x14ac:dyDescent="0.3">
      <c r="A116" s="11">
        <v>115</v>
      </c>
      <c r="B116" s="22" t="s">
        <v>161</v>
      </c>
      <c r="C116" s="23">
        <v>114302.6</v>
      </c>
      <c r="D116" s="24">
        <v>51.55</v>
      </c>
      <c r="E116" s="24">
        <v>29.34</v>
      </c>
      <c r="F116" s="14">
        <f>IF(OR(D116&gt;=E116,D116=0),0,1)</f>
        <v>0</v>
      </c>
      <c r="G116" s="24">
        <v>8.27</v>
      </c>
      <c r="H116" s="24">
        <v>2.81</v>
      </c>
      <c r="I116" s="14">
        <f>IF(AND(H116&lt;=1,H116&gt;0),1,0)</f>
        <v>0</v>
      </c>
      <c r="J116" s="24">
        <v>2013.3</v>
      </c>
      <c r="K116" s="24">
        <v>2490.5</v>
      </c>
      <c r="L116" s="24">
        <v>11.13</v>
      </c>
      <c r="M116" s="24">
        <v>11.02</v>
      </c>
      <c r="N116" s="14">
        <f>IF(AND(J116&gt;K116,L116&gt;=M116),1,0)</f>
        <v>0</v>
      </c>
      <c r="O116" s="15">
        <v>553.5</v>
      </c>
      <c r="P116" s="15">
        <v>458.7</v>
      </c>
      <c r="Q116" s="15">
        <v>536.70000000000005</v>
      </c>
      <c r="R116" s="15">
        <v>466.3</v>
      </c>
      <c r="S116" s="15">
        <v>564</v>
      </c>
      <c r="T116" s="15">
        <v>518.20000000000005</v>
      </c>
      <c r="U116" s="15">
        <v>999.8</v>
      </c>
      <c r="V116" s="15">
        <v>409.3</v>
      </c>
      <c r="W116" s="14">
        <f>IF(AND(O116&gt;S116,P116&gt;T116,Q116&gt;U116,R116&gt;V116),1,0)</f>
        <v>0</v>
      </c>
      <c r="X116" s="24">
        <v>2373.4</v>
      </c>
      <c r="Y116" s="24">
        <v>1252.8</v>
      </c>
      <c r="Z116" s="24">
        <v>12.79</v>
      </c>
      <c r="AA116" s="24">
        <v>7.49</v>
      </c>
      <c r="AB116" s="14">
        <f>IF(AND(X116&gt;Y116,Z116&gt;=AA116,X116&gt;0),1,0)</f>
        <v>1</v>
      </c>
      <c r="AC116" s="12" t="str">
        <f>IF(X116&gt;J116,"Yes","No")</f>
        <v>Yes</v>
      </c>
      <c r="AD116" s="14">
        <f>IF(X116&gt;J116,1,0)</f>
        <v>1</v>
      </c>
      <c r="AE116" s="16">
        <v>11055.8</v>
      </c>
      <c r="AF116" s="16">
        <v>6199.4</v>
      </c>
      <c r="AG116" s="17">
        <f>AE116/AF116</f>
        <v>1.7833661322063425</v>
      </c>
      <c r="AH116" s="16">
        <v>9920.7000000000007</v>
      </c>
      <c r="AI116" s="16">
        <v>5093.2</v>
      </c>
      <c r="AJ116" s="17">
        <f>AH116/AI116</f>
        <v>1.9478324039896335</v>
      </c>
      <c r="AK116" s="18">
        <f>IF(AG116&gt;=AJ116,1,0)</f>
        <v>0</v>
      </c>
      <c r="AL116" s="19">
        <v>0</v>
      </c>
      <c r="AM116" s="19">
        <v>0</v>
      </c>
      <c r="AN116" s="18">
        <f>IF(AL116&lt;=AM116,1,0)</f>
        <v>1</v>
      </c>
      <c r="AO116" s="19">
        <v>0.96</v>
      </c>
      <c r="AP116" s="19">
        <v>1</v>
      </c>
      <c r="AQ116" s="18">
        <f>IF(AO116&gt;AP116,1,0)</f>
        <v>0</v>
      </c>
      <c r="AR116" s="19">
        <v>12.22</v>
      </c>
      <c r="AS116" s="19">
        <v>12</v>
      </c>
      <c r="AT116" s="14">
        <f>IF(AR116&gt;=AS116,1,0)</f>
        <v>1</v>
      </c>
      <c r="AU116" s="20">
        <f>SUM(I116,N116,AB116,AD116,AK116,AN116,AQ116,AT116,F116,W116)</f>
        <v>4</v>
      </c>
    </row>
    <row r="117" spans="1:47" customFormat="1" ht="15.6" x14ac:dyDescent="0.3">
      <c r="A117" s="11">
        <v>116</v>
      </c>
      <c r="B117" s="22" t="s">
        <v>162</v>
      </c>
      <c r="C117" s="23">
        <v>107123.74</v>
      </c>
      <c r="D117" s="24">
        <v>72.05</v>
      </c>
      <c r="E117" s="24">
        <v>39.53</v>
      </c>
      <c r="F117" s="14">
        <f>IF(OR(D117&gt;=E117,D117=0),0,1)</f>
        <v>0</v>
      </c>
      <c r="G117" s="24">
        <v>4.97</v>
      </c>
      <c r="H117" s="24">
        <v>-3.34</v>
      </c>
      <c r="I117" s="14">
        <f>IF(AND(H117&lt;=1,H117&gt;0),1,0)</f>
        <v>0</v>
      </c>
      <c r="J117" s="24">
        <v>1123.8</v>
      </c>
      <c r="K117" s="24">
        <v>2396.16</v>
      </c>
      <c r="L117" s="24">
        <v>5.8</v>
      </c>
      <c r="M117" s="24">
        <v>11.8</v>
      </c>
      <c r="N117" s="14">
        <f>IF(AND(J117&gt;K117,L117&gt;=M117),1,0)</f>
        <v>0</v>
      </c>
      <c r="O117" s="15">
        <v>642.70000000000005</v>
      </c>
      <c r="P117" s="15">
        <v>574.29999999999995</v>
      </c>
      <c r="Q117" s="15">
        <v>193.4</v>
      </c>
      <c r="R117" s="15">
        <v>76.400000000000006</v>
      </c>
      <c r="S117" s="15">
        <v>278.60000000000002</v>
      </c>
      <c r="T117" s="15">
        <v>674.9</v>
      </c>
      <c r="U117" s="15">
        <v>701.9</v>
      </c>
      <c r="V117" s="15">
        <v>446.6</v>
      </c>
      <c r="W117" s="14">
        <f>IF(AND(O117&gt;S117,P117&gt;T117,Q117&gt;U117,R117&gt;V117),1,0)</f>
        <v>0</v>
      </c>
      <c r="X117" s="24">
        <v>4920.33</v>
      </c>
      <c r="Y117" s="24">
        <v>3347.49</v>
      </c>
      <c r="Z117" s="24">
        <v>25.31</v>
      </c>
      <c r="AA117" s="24">
        <v>16.41</v>
      </c>
      <c r="AB117" s="14">
        <f>IF(AND(X117&gt;Y117,Z117&gt;=AA117,X117&gt;0),1,0)</f>
        <v>1</v>
      </c>
      <c r="AC117" s="12" t="str">
        <f>IF(X117&gt;J117,"Yes","No")</f>
        <v>Yes</v>
      </c>
      <c r="AD117" s="14">
        <f>IF(X117&gt;J117,1,0)</f>
        <v>1</v>
      </c>
      <c r="AE117" s="16">
        <v>12102.4</v>
      </c>
      <c r="AF117" s="16">
        <v>5756.1</v>
      </c>
      <c r="AG117" s="17">
        <f>AE117/AF117</f>
        <v>2.1025347023158041</v>
      </c>
      <c r="AH117" s="16">
        <v>12212.2</v>
      </c>
      <c r="AI117" s="16">
        <v>6127.8</v>
      </c>
      <c r="AJ117" s="17">
        <f>AH117/AI117</f>
        <v>1.9929175234178662</v>
      </c>
      <c r="AK117" s="18">
        <f>IF(AG117&gt;=AJ117,1,0)</f>
        <v>1</v>
      </c>
      <c r="AL117" s="19">
        <v>0.03</v>
      </c>
      <c r="AM117" s="19">
        <v>0.03</v>
      </c>
      <c r="AN117" s="18">
        <f>IF(AL117&lt;=AM117,1,0)</f>
        <v>1</v>
      </c>
      <c r="AO117" s="19">
        <v>0.68</v>
      </c>
      <c r="AP117" s="19">
        <v>0.76</v>
      </c>
      <c r="AQ117" s="18">
        <f>IF(AO117&gt;AP117,1,0)</f>
        <v>0</v>
      </c>
      <c r="AR117" s="19">
        <v>19.8</v>
      </c>
      <c r="AS117" s="19">
        <v>21.39</v>
      </c>
      <c r="AT117" s="14">
        <f>IF(AR117&gt;=AS117,1,0)</f>
        <v>0</v>
      </c>
      <c r="AU117" s="20">
        <f>SUM(I117,N117,AB117,AD117,AK117,AN117,AQ117,AT117,F117,W117)</f>
        <v>4</v>
      </c>
    </row>
    <row r="118" spans="1:47" customFormat="1" ht="15.6" x14ac:dyDescent="0.3">
      <c r="A118" s="11">
        <v>117</v>
      </c>
      <c r="B118" s="22" t="s">
        <v>163</v>
      </c>
      <c r="C118" s="23">
        <v>95417.74</v>
      </c>
      <c r="D118" s="24">
        <v>57.17</v>
      </c>
      <c r="E118" s="24">
        <v>25.98</v>
      </c>
      <c r="F118" s="14">
        <f>IF(OR(D118&gt;=E118,D118=0),0,1)</f>
        <v>0</v>
      </c>
      <c r="G118" s="24">
        <v>23.96</v>
      </c>
      <c r="H118" s="24">
        <v>5.94</v>
      </c>
      <c r="I118" s="14">
        <f>IF(AND(H118&lt;=1,H118&gt;0),1,0)</f>
        <v>0</v>
      </c>
      <c r="J118" s="24">
        <v>1658</v>
      </c>
      <c r="K118" s="24">
        <v>1502</v>
      </c>
      <c r="L118" s="24">
        <v>15.17</v>
      </c>
      <c r="M118" s="24">
        <v>15.44</v>
      </c>
      <c r="N118" s="14">
        <f>IF(AND(J118&gt;K118,L118&gt;=M118),1,0)</f>
        <v>0</v>
      </c>
      <c r="O118" s="15">
        <v>343</v>
      </c>
      <c r="P118" s="15">
        <v>399</v>
      </c>
      <c r="Q118" s="15">
        <v>423</v>
      </c>
      <c r="R118" s="15">
        <v>464</v>
      </c>
      <c r="S118" s="15">
        <v>318</v>
      </c>
      <c r="T118" s="15">
        <v>383</v>
      </c>
      <c r="U118" s="15">
        <v>353</v>
      </c>
      <c r="V118" s="15">
        <v>427</v>
      </c>
      <c r="W118" s="14">
        <f>IF(AND(O118&gt;S118,P118&gt;T118,Q118&gt;U118,R118&gt;V118),1,0)</f>
        <v>1</v>
      </c>
      <c r="X118" s="24">
        <v>1363</v>
      </c>
      <c r="Y118" s="24">
        <v>1387</v>
      </c>
      <c r="Z118" s="24">
        <v>11.91</v>
      </c>
      <c r="AA118" s="24">
        <v>14.37</v>
      </c>
      <c r="AB118" s="14">
        <f>IF(AND(X118&gt;Y118,Z118&gt;=AA118,X118&gt;0),1,0)</f>
        <v>0</v>
      </c>
      <c r="AC118" s="12" t="str">
        <f>IF(X118&gt;J118,"Yes","No")</f>
        <v>No</v>
      </c>
      <c r="AD118" s="14">
        <f>IF(X118&gt;J118,1,0)</f>
        <v>0</v>
      </c>
      <c r="AE118" s="27">
        <v>5083</v>
      </c>
      <c r="AF118" s="27">
        <v>2461</v>
      </c>
      <c r="AG118" s="17">
        <f>AE118/AF118</f>
        <v>2.0654205607476634</v>
      </c>
      <c r="AH118" s="27">
        <v>4003</v>
      </c>
      <c r="AI118" s="27">
        <v>2444</v>
      </c>
      <c r="AJ118" s="17">
        <f>AH118/AI118</f>
        <v>1.6378887070376431</v>
      </c>
      <c r="AK118" s="18">
        <f>IF(AG118&gt;=AJ118,1,0)</f>
        <v>1</v>
      </c>
      <c r="AL118" s="28">
        <v>0</v>
      </c>
      <c r="AM118" s="28">
        <v>0</v>
      </c>
      <c r="AN118" s="18">
        <f>IF(AL118&lt;=AM118,1,0)</f>
        <v>1</v>
      </c>
      <c r="AO118" s="28">
        <v>1.37</v>
      </c>
      <c r="AP118" s="28">
        <v>1.34</v>
      </c>
      <c r="AQ118" s="18">
        <f>IF(AO118&gt;AP118,1,0)</f>
        <v>1</v>
      </c>
      <c r="AR118" s="28">
        <v>19.38</v>
      </c>
      <c r="AS118" s="28">
        <v>20.68</v>
      </c>
      <c r="AT118" s="14">
        <f>IF(AR118&gt;=AS118,1,0)</f>
        <v>0</v>
      </c>
      <c r="AU118" s="20">
        <f>SUM(I118,N118,AB118,AD118,AK118,AN118,AQ118,AT118,F118,W118)</f>
        <v>4</v>
      </c>
    </row>
    <row r="119" spans="1:47" customFormat="1" ht="15.6" x14ac:dyDescent="0.3">
      <c r="A119" s="11">
        <v>118</v>
      </c>
      <c r="B119" s="22" t="s">
        <v>164</v>
      </c>
      <c r="C119" s="23">
        <v>90165.54</v>
      </c>
      <c r="D119" s="24">
        <v>50.61</v>
      </c>
      <c r="E119" s="24">
        <v>53.28</v>
      </c>
      <c r="F119" s="14">
        <f>IF(OR(D119&gt;=E119,D119=0),0,1)</f>
        <v>1</v>
      </c>
      <c r="G119" s="24">
        <v>8.34</v>
      </c>
      <c r="H119" s="24">
        <v>-63.26</v>
      </c>
      <c r="I119" s="14">
        <f>IF(AND(H119&lt;=1,H119&gt;0),1,0)</f>
        <v>0</v>
      </c>
      <c r="J119" s="24">
        <v>1740.42</v>
      </c>
      <c r="K119" s="24">
        <v>1811.31</v>
      </c>
      <c r="L119" s="24">
        <v>13.8</v>
      </c>
      <c r="M119" s="24">
        <v>14.6</v>
      </c>
      <c r="N119" s="14">
        <f>IF(AND(J119&gt;K119,L119&gt;=M119),1,0)</f>
        <v>0</v>
      </c>
      <c r="O119" s="15">
        <v>513.9</v>
      </c>
      <c r="P119" s="15">
        <v>320.10000000000002</v>
      </c>
      <c r="Q119" s="15">
        <v>522.4</v>
      </c>
      <c r="R119" s="15">
        <v>425</v>
      </c>
      <c r="S119" s="15">
        <v>500.1</v>
      </c>
      <c r="T119" s="15">
        <v>349.5</v>
      </c>
      <c r="U119" s="15">
        <v>506.4</v>
      </c>
      <c r="V119" s="15">
        <v>515.1</v>
      </c>
      <c r="W119" s="14">
        <f>IF(AND(O119&gt;S119,P119&gt;T119,Q119&gt;U119,R119&gt;V119),1,0)</f>
        <v>0</v>
      </c>
      <c r="X119" s="24">
        <v>1986.75</v>
      </c>
      <c r="Y119" s="24">
        <v>2013.47</v>
      </c>
      <c r="Z119" s="24">
        <v>15.74</v>
      </c>
      <c r="AA119" s="24">
        <v>16.23</v>
      </c>
      <c r="AB119" s="14">
        <f>IF(AND(X119&gt;Y119,Z119&gt;=AA119,X119&gt;0),1,0)</f>
        <v>0</v>
      </c>
      <c r="AC119" s="12" t="str">
        <f>IF(X119&gt;J119,"Yes","No")</f>
        <v>Yes</v>
      </c>
      <c r="AD119" s="14">
        <f>IF(X119&gt;J119,1,0)</f>
        <v>1</v>
      </c>
      <c r="AE119" s="26">
        <v>6532.5</v>
      </c>
      <c r="AF119" s="26">
        <v>4318.3999999999996</v>
      </c>
      <c r="AG119" s="17">
        <f>AE119/AF119</f>
        <v>1.5127130418673584</v>
      </c>
      <c r="AH119" s="26">
        <v>5679.6</v>
      </c>
      <c r="AI119" s="26">
        <v>3930.4</v>
      </c>
      <c r="AJ119" s="17">
        <f>AH119/AI119</f>
        <v>1.4450437614492164</v>
      </c>
      <c r="AK119" s="18">
        <f>IF(AG119&gt;=AJ119,1,0)</f>
        <v>1</v>
      </c>
      <c r="AL119" s="28">
        <v>0.03</v>
      </c>
      <c r="AM119" s="28">
        <v>0.05</v>
      </c>
      <c r="AN119" s="18">
        <f>IF(AL119&lt;=AM119,1,0)</f>
        <v>1</v>
      </c>
      <c r="AO119" s="28">
        <v>0.8</v>
      </c>
      <c r="AP119" s="28">
        <v>0.86</v>
      </c>
      <c r="AQ119" s="18">
        <f>IF(AO119&gt;AP119,1,0)</f>
        <v>0</v>
      </c>
      <c r="AR119" s="28">
        <v>17.66</v>
      </c>
      <c r="AS119" s="28">
        <v>18.63</v>
      </c>
      <c r="AT119" s="14">
        <f>IF(AR119&gt;=AS119,1,0)</f>
        <v>0</v>
      </c>
      <c r="AU119" s="20">
        <f>SUM(I119,N119,AB119,AD119,AK119,AN119,AQ119,AT119,F119,W119)</f>
        <v>4</v>
      </c>
    </row>
    <row r="120" spans="1:47" customFormat="1" ht="15.6" x14ac:dyDescent="0.3">
      <c r="A120" s="11">
        <v>119</v>
      </c>
      <c r="B120" s="22" t="s">
        <v>165</v>
      </c>
      <c r="C120" s="23">
        <v>78196</v>
      </c>
      <c r="D120" s="24">
        <v>22.98</v>
      </c>
      <c r="E120" s="24">
        <v>30.87</v>
      </c>
      <c r="F120" s="14">
        <f>IF(OR(D120&gt;=E120,D120=0),0,1)</f>
        <v>1</v>
      </c>
      <c r="G120" s="24">
        <v>2.57</v>
      </c>
      <c r="H120" s="24">
        <v>0.94</v>
      </c>
      <c r="I120" s="14">
        <f>IF(AND(H120&lt;=1,H120&gt;0),1,0)</f>
        <v>1</v>
      </c>
      <c r="J120" s="24">
        <v>3409.89</v>
      </c>
      <c r="K120" s="24">
        <v>3438.89</v>
      </c>
      <c r="L120" s="24">
        <v>8.27</v>
      </c>
      <c r="M120" s="24">
        <v>9.8699999999999992</v>
      </c>
      <c r="N120" s="14">
        <f>IF(AND(J120&gt;K120,L120&gt;=M120),1,0)</f>
        <v>0</v>
      </c>
      <c r="O120" s="15">
        <v>835.1</v>
      </c>
      <c r="P120" s="15">
        <v>864.6</v>
      </c>
      <c r="Q120" s="15">
        <v>708</v>
      </c>
      <c r="R120" s="15">
        <v>1000.9</v>
      </c>
      <c r="S120" s="15">
        <v>758.8</v>
      </c>
      <c r="T120" s="15">
        <v>1245.4000000000001</v>
      </c>
      <c r="U120" s="15">
        <v>735.8</v>
      </c>
      <c r="V120" s="15">
        <v>705.1</v>
      </c>
      <c r="W120" s="14">
        <f>IF(AND(O120&gt;S120,P120&gt;T120,Q120&gt;U120,R120&gt;V120),1,0)</f>
        <v>0</v>
      </c>
      <c r="X120" s="24">
        <v>-27934.63</v>
      </c>
      <c r="Y120" s="24">
        <v>-24100.5</v>
      </c>
      <c r="Z120" s="24">
        <v>-67.44</v>
      </c>
      <c r="AA120" s="24">
        <v>-70.97</v>
      </c>
      <c r="AB120" s="14">
        <f>IF(AND(X120&gt;Y120,Z120&gt;=AA120,X120&gt;0),1,0)</f>
        <v>0</v>
      </c>
      <c r="AC120" s="12" t="str">
        <f>IF(X120&gt;J120,"Yes","No")</f>
        <v>No</v>
      </c>
      <c r="AD120" s="14">
        <f>IF(X120&gt;J120,1,0)</f>
        <v>0</v>
      </c>
      <c r="AE120" s="26">
        <v>34240.199999999997</v>
      </c>
      <c r="AF120" s="26">
        <v>26551.5</v>
      </c>
      <c r="AG120" s="17">
        <f>AE120/AF120</f>
        <v>1.2895768600644031</v>
      </c>
      <c r="AH120" s="26">
        <v>29126.5</v>
      </c>
      <c r="AI120" s="26">
        <v>26679.9</v>
      </c>
      <c r="AJ120" s="17">
        <f>AH120/AI120</f>
        <v>1.0917019928860303</v>
      </c>
      <c r="AK120" s="18">
        <f>IF(AG120&gt;=AJ120,1,0)</f>
        <v>1</v>
      </c>
      <c r="AL120" s="28">
        <v>2.97</v>
      </c>
      <c r="AM120" s="28">
        <v>2.96</v>
      </c>
      <c r="AN120" s="18">
        <f>IF(AL120&lt;=AM120,1,0)</f>
        <v>0</v>
      </c>
      <c r="AO120" s="28">
        <v>0.65</v>
      </c>
      <c r="AP120" s="28">
        <v>0.75</v>
      </c>
      <c r="AQ120" s="18">
        <f>IF(AO120&gt;AP120,1,0)</f>
        <v>0</v>
      </c>
      <c r="AR120" s="28">
        <v>18.829999999999998</v>
      </c>
      <c r="AS120" s="28">
        <v>17.29</v>
      </c>
      <c r="AT120" s="14">
        <f>IF(AR120&gt;=AS120,1,0)</f>
        <v>1</v>
      </c>
      <c r="AU120" s="20">
        <f>SUM(I120,N120,AB120,AD120,AK120,AN120,AQ120,AT120,F120,W120)</f>
        <v>4</v>
      </c>
    </row>
    <row r="121" spans="1:47" customFormat="1" ht="15.6" x14ac:dyDescent="0.3">
      <c r="A121" s="11">
        <v>120</v>
      </c>
      <c r="B121" s="22" t="s">
        <v>166</v>
      </c>
      <c r="C121" s="23">
        <v>69670.16</v>
      </c>
      <c r="D121" s="24">
        <v>45.6</v>
      </c>
      <c r="E121" s="24">
        <v>22.56</v>
      </c>
      <c r="F121" s="14">
        <f>IF(OR(D121&gt;=E121,D121=0),0,1)</f>
        <v>0</v>
      </c>
      <c r="G121" s="24">
        <v>10.81</v>
      </c>
      <c r="H121" s="24">
        <v>0.4</v>
      </c>
      <c r="I121" s="14">
        <f>IF(AND(H121&lt;=1,H121&gt;0),1,0)</f>
        <v>1</v>
      </c>
      <c r="J121" s="24">
        <v>1450.95</v>
      </c>
      <c r="K121" s="24">
        <v>1243.1500000000001</v>
      </c>
      <c r="L121" s="24">
        <v>21.57</v>
      </c>
      <c r="M121" s="24">
        <v>19.05</v>
      </c>
      <c r="N121" s="14">
        <f>IF(AND(J121&gt;K121,L121&gt;=M121),1,0)</f>
        <v>1</v>
      </c>
      <c r="O121" s="15">
        <v>201.9</v>
      </c>
      <c r="P121" s="15">
        <v>389.3</v>
      </c>
      <c r="Q121" s="15">
        <v>301.3</v>
      </c>
      <c r="R121" s="15">
        <v>557.4</v>
      </c>
      <c r="S121" s="15">
        <v>276.89999999999998</v>
      </c>
      <c r="T121" s="15">
        <v>331.5</v>
      </c>
      <c r="U121" s="15">
        <v>231.3</v>
      </c>
      <c r="V121" s="15">
        <v>403.3</v>
      </c>
      <c r="W121" s="14">
        <f>IF(AND(O121&gt;S121,P121&gt;T121,Q121&gt;U121,R121&gt;V121),1,0)</f>
        <v>0</v>
      </c>
      <c r="X121" s="24">
        <v>1204.8699999999999</v>
      </c>
      <c r="Y121" s="24">
        <v>1700.93</v>
      </c>
      <c r="Z121" s="24">
        <v>18.03</v>
      </c>
      <c r="AA121" s="24">
        <v>26.07</v>
      </c>
      <c r="AB121" s="14">
        <f>IF(AND(X121&gt;Y121,Z121&gt;=AA121,X121&gt;0),1,0)</f>
        <v>0</v>
      </c>
      <c r="AC121" s="12" t="str">
        <f>IF(X121&gt;J121,"Yes","No")</f>
        <v>No</v>
      </c>
      <c r="AD121" s="14">
        <f>IF(X121&gt;J121,1,0)</f>
        <v>0</v>
      </c>
      <c r="AE121" s="26">
        <v>3020.2</v>
      </c>
      <c r="AF121" s="26">
        <v>2114.1999999999998</v>
      </c>
      <c r="AG121" s="17">
        <f>AE121/AF121</f>
        <v>1.4285308863872861</v>
      </c>
      <c r="AH121" s="26">
        <v>1127.4000000000001</v>
      </c>
      <c r="AI121" s="28">
        <v>985.9</v>
      </c>
      <c r="AJ121" s="17">
        <f>AH121/AI121</f>
        <v>1.1435236839436049</v>
      </c>
      <c r="AK121" s="18">
        <f>IF(AG121&gt;=AJ121,1,0)</f>
        <v>1</v>
      </c>
      <c r="AL121" s="28">
        <v>0.12</v>
      </c>
      <c r="AM121" s="28">
        <v>0</v>
      </c>
      <c r="AN121" s="18">
        <f>IF(AL121&lt;=AM121,1,0)</f>
        <v>0</v>
      </c>
      <c r="AO121" s="28">
        <v>1.01</v>
      </c>
      <c r="AP121" s="28">
        <v>2.19</v>
      </c>
      <c r="AQ121" s="18">
        <f>IF(AO121&gt;AP121,1,0)</f>
        <v>0</v>
      </c>
      <c r="AR121" s="28">
        <v>28.84</v>
      </c>
      <c r="AS121" s="28">
        <v>26.29</v>
      </c>
      <c r="AT121" s="14">
        <f>IF(AR121&gt;=AS121,1,0)</f>
        <v>1</v>
      </c>
      <c r="AU121" s="20">
        <f>SUM(I121,N121,AB121,AD121,AK121,AN121,AQ121,AT121,F121,W121)</f>
        <v>4</v>
      </c>
    </row>
    <row r="122" spans="1:47" customFormat="1" ht="15.6" x14ac:dyDescent="0.3">
      <c r="A122" s="11">
        <v>121</v>
      </c>
      <c r="B122" s="22" t="s">
        <v>167</v>
      </c>
      <c r="C122" s="23">
        <v>66511.990000000005</v>
      </c>
      <c r="D122" s="24">
        <v>10.14</v>
      </c>
      <c r="E122" s="24">
        <v>14.13</v>
      </c>
      <c r="F122" s="14">
        <f>IF(OR(D122&gt;=E122,D122=0),0,1)</f>
        <v>1</v>
      </c>
      <c r="G122" s="24">
        <v>1.34</v>
      </c>
      <c r="H122" s="24">
        <v>1.81</v>
      </c>
      <c r="I122" s="14">
        <f>IF(AND(H122&lt;=1,H122&gt;0),1,0)</f>
        <v>0</v>
      </c>
      <c r="J122" s="24">
        <v>7039.63</v>
      </c>
      <c r="K122" s="24">
        <v>6980.45</v>
      </c>
      <c r="L122" s="24">
        <v>22.05</v>
      </c>
      <c r="M122" s="24">
        <v>27.14</v>
      </c>
      <c r="N122" s="14">
        <f>IF(AND(J122&gt;K122,L122&gt;=M122),1,0)</f>
        <v>0</v>
      </c>
      <c r="O122" s="15">
        <v>1310.0999999999999</v>
      </c>
      <c r="P122" s="15">
        <v>1338.9</v>
      </c>
      <c r="Q122" s="15">
        <v>2016.2</v>
      </c>
      <c r="R122" s="15">
        <v>1885.8</v>
      </c>
      <c r="S122" s="15">
        <v>2140.6999999999998</v>
      </c>
      <c r="T122" s="15">
        <v>2347.1</v>
      </c>
      <c r="U122" s="15">
        <v>420.7</v>
      </c>
      <c r="V122" s="15">
        <v>1426.6</v>
      </c>
      <c r="W122" s="14">
        <f>IF(AND(O122&gt;S122,P122&gt;T122,Q122&gt;U122,R122&gt;V122),1,0)</f>
        <v>0</v>
      </c>
      <c r="X122" s="24">
        <v>11332.04</v>
      </c>
      <c r="Y122" s="24">
        <v>10933.14</v>
      </c>
      <c r="Z122" s="24">
        <v>35.06</v>
      </c>
      <c r="AA122" s="24">
        <v>34.44</v>
      </c>
      <c r="AB122" s="14">
        <f>IF(AND(X122&gt;Y122,Z122&gt;=AA122,X122&gt;0),1,0)</f>
        <v>1</v>
      </c>
      <c r="AC122" s="12" t="str">
        <f>IF(X122&gt;J122,"Yes","No")</f>
        <v>Yes</v>
      </c>
      <c r="AD122" s="14">
        <f>IF(X122&gt;J122,1,0)</f>
        <v>1</v>
      </c>
      <c r="AE122" s="27">
        <v>18709</v>
      </c>
      <c r="AF122" s="26">
        <v>15217.9</v>
      </c>
      <c r="AG122" s="17">
        <f>AE122/AF122</f>
        <v>1.229407474093009</v>
      </c>
      <c r="AH122" s="27">
        <v>16739</v>
      </c>
      <c r="AI122" s="26">
        <v>14356.9</v>
      </c>
      <c r="AJ122" s="17">
        <f>AH122/AI122</f>
        <v>1.1659202195460023</v>
      </c>
      <c r="AK122" s="18">
        <f>IF(AG122&gt;=AJ122,1,0)</f>
        <v>1</v>
      </c>
      <c r="AL122" s="28">
        <v>0.56000000000000005</v>
      </c>
      <c r="AM122" s="28">
        <v>0.4</v>
      </c>
      <c r="AN122" s="18">
        <f>IF(AL122&lt;=AM122,1,0)</f>
        <v>0</v>
      </c>
      <c r="AO122" s="28">
        <v>0.33</v>
      </c>
      <c r="AP122" s="28">
        <v>0.39</v>
      </c>
      <c r="AQ122" s="18">
        <f>IF(AO122&gt;AP122,1,0)</f>
        <v>0</v>
      </c>
      <c r="AR122" s="28">
        <v>32.82</v>
      </c>
      <c r="AS122" s="28">
        <v>36.979999999999997</v>
      </c>
      <c r="AT122" s="14">
        <f>IF(AR122&gt;=AS122,1,0)</f>
        <v>0</v>
      </c>
      <c r="AU122" s="20">
        <f>SUM(I122,N122,AB122,AD122,AK122,AN122,AQ122,AT122,F122,W122)</f>
        <v>4</v>
      </c>
    </row>
    <row r="123" spans="1:47" customFormat="1" ht="15.6" x14ac:dyDescent="0.3">
      <c r="A123" s="11">
        <v>122</v>
      </c>
      <c r="B123" s="22" t="s">
        <v>168</v>
      </c>
      <c r="C123" s="23">
        <v>66136.38</v>
      </c>
      <c r="D123" s="24">
        <v>36.770000000000003</v>
      </c>
      <c r="E123" s="24">
        <v>30.08</v>
      </c>
      <c r="F123" s="14">
        <f>IF(OR(D123&gt;=E123,D123=0),0,1)</f>
        <v>0</v>
      </c>
      <c r="G123" s="24">
        <v>3.58</v>
      </c>
      <c r="H123" s="24">
        <v>0.73</v>
      </c>
      <c r="I123" s="14">
        <f>IF(AND(H123&lt;=1,H123&gt;0),1,0)</f>
        <v>1</v>
      </c>
      <c r="J123" s="24">
        <v>1869.29</v>
      </c>
      <c r="K123" s="24">
        <v>2081.23</v>
      </c>
      <c r="L123" s="24">
        <v>6.64</v>
      </c>
      <c r="M123" s="24">
        <v>8.3000000000000007</v>
      </c>
      <c r="N123" s="14">
        <f>IF(AND(J123&gt;K123,L123&gt;=M123),1,0)</f>
        <v>0</v>
      </c>
      <c r="O123" s="15">
        <v>512.1</v>
      </c>
      <c r="P123" s="15">
        <v>315.5</v>
      </c>
      <c r="Q123" s="15">
        <v>470.7</v>
      </c>
      <c r="R123" s="15">
        <v>571</v>
      </c>
      <c r="S123" s="15">
        <v>396.1</v>
      </c>
      <c r="T123" s="15">
        <v>509.7</v>
      </c>
      <c r="U123" s="15">
        <v>586.70000000000005</v>
      </c>
      <c r="V123" s="15">
        <v>588.79999999999995</v>
      </c>
      <c r="W123" s="14">
        <f>IF(AND(O123&gt;S123,P123&gt;T123,Q123&gt;U123,R123&gt;V123),1,0)</f>
        <v>0</v>
      </c>
      <c r="X123" s="24">
        <v>1867.8</v>
      </c>
      <c r="Y123" s="24">
        <v>3303.36</v>
      </c>
      <c r="Z123" s="24">
        <v>6.52</v>
      </c>
      <c r="AA123" s="24">
        <v>13.12</v>
      </c>
      <c r="AB123" s="14">
        <f>IF(AND(X123&gt;Y123,Z123&gt;=AA123,X123&gt;0),1,0)</f>
        <v>0</v>
      </c>
      <c r="AC123" s="12" t="str">
        <f>IF(X123&gt;J123,"Yes","No")</f>
        <v>No</v>
      </c>
      <c r="AD123" s="14">
        <f>IF(X123&gt;J123,1,0)</f>
        <v>0</v>
      </c>
      <c r="AE123" s="26">
        <v>13396.4</v>
      </c>
      <c r="AF123" s="26">
        <v>8959.6</v>
      </c>
      <c r="AG123" s="17">
        <f>AE123/AF123</f>
        <v>1.4952006786017231</v>
      </c>
      <c r="AH123" s="26">
        <v>10549.6</v>
      </c>
      <c r="AI123" s="27">
        <v>7710</v>
      </c>
      <c r="AJ123" s="17">
        <f>AH123/AI123</f>
        <v>1.3683009079118029</v>
      </c>
      <c r="AK123" s="18">
        <f>IF(AG123&gt;=AJ123,1,0)</f>
        <v>1</v>
      </c>
      <c r="AL123" s="28">
        <v>0.02</v>
      </c>
      <c r="AM123" s="28">
        <v>0.04</v>
      </c>
      <c r="AN123" s="18">
        <f>IF(AL123&lt;=AM123,1,0)</f>
        <v>1</v>
      </c>
      <c r="AO123" s="28">
        <v>1</v>
      </c>
      <c r="AP123" s="28">
        <v>0.98</v>
      </c>
      <c r="AQ123" s="18">
        <f>IF(AO123&gt;AP123,1,0)</f>
        <v>1</v>
      </c>
      <c r="AR123" s="28">
        <v>14.3</v>
      </c>
      <c r="AS123" s="28">
        <v>16.690000000000001</v>
      </c>
      <c r="AT123" s="14">
        <f>IF(AR123&gt;=AS123,1,0)</f>
        <v>0</v>
      </c>
      <c r="AU123" s="20">
        <f>SUM(I123,N123,AB123,AD123,AK123,AN123,AQ123,AT123,F123,W123)</f>
        <v>4</v>
      </c>
    </row>
    <row r="124" spans="1:47" customFormat="1" ht="15.6" x14ac:dyDescent="0.3">
      <c r="A124" s="11">
        <v>123</v>
      </c>
      <c r="B124" s="22" t="s">
        <v>169</v>
      </c>
      <c r="C124" s="23">
        <v>60688.68</v>
      </c>
      <c r="D124" s="24">
        <v>93.81</v>
      </c>
      <c r="E124" s="24">
        <v>29.34</v>
      </c>
      <c r="F124" s="14">
        <f>IF(OR(D124&gt;=E124,D124=0),0,1)</f>
        <v>0</v>
      </c>
      <c r="G124" s="24">
        <v>10.96</v>
      </c>
      <c r="H124" s="24">
        <v>-26.58</v>
      </c>
      <c r="I124" s="14">
        <f>IF(AND(H124&lt;=1,H124&gt;0),1,0)</f>
        <v>0</v>
      </c>
      <c r="J124" s="24">
        <v>1054.29</v>
      </c>
      <c r="K124" s="24">
        <v>1722.53</v>
      </c>
      <c r="L124" s="24">
        <v>5.46</v>
      </c>
      <c r="M124" s="24">
        <v>10.18</v>
      </c>
      <c r="N124" s="14">
        <f>IF(AND(J124&gt;K124,L124&gt;=M124),1,0)</f>
        <v>0</v>
      </c>
      <c r="O124" s="15">
        <v>46.5</v>
      </c>
      <c r="P124" s="15">
        <v>193.6</v>
      </c>
      <c r="Q124" s="15">
        <v>206.8</v>
      </c>
      <c r="R124" s="15">
        <v>225.2</v>
      </c>
      <c r="S124" s="15">
        <v>189.5</v>
      </c>
      <c r="T124" s="15">
        <v>531.1</v>
      </c>
      <c r="U124" s="15">
        <v>263.39999999999998</v>
      </c>
      <c r="V124" s="15">
        <v>215</v>
      </c>
      <c r="W124" s="14">
        <f>IF(AND(O124&gt;S124,P124&gt;T124,Q124&gt;U124,R124&gt;V124),1,0)</f>
        <v>0</v>
      </c>
      <c r="X124" s="24">
        <v>1213.4100000000001</v>
      </c>
      <c r="Y124" s="24">
        <v>675.15</v>
      </c>
      <c r="Z124" s="24">
        <v>6.01</v>
      </c>
      <c r="AA124" s="24">
        <v>4</v>
      </c>
      <c r="AB124" s="14">
        <f>IF(AND(X124&gt;Y124,Z124&gt;=AA124,X124&gt;0),1,0)</f>
        <v>1</v>
      </c>
      <c r="AC124" s="12" t="str">
        <f>IF(X124&gt;J124,"Yes","No")</f>
        <v>Yes</v>
      </c>
      <c r="AD124" s="14">
        <f>IF(X124&gt;J124,1,0)</f>
        <v>1</v>
      </c>
      <c r="AE124" s="26">
        <v>9429.2999999999993</v>
      </c>
      <c r="AF124" s="26">
        <v>5231.3999999999996</v>
      </c>
      <c r="AG124" s="17">
        <f>AE124/AF124</f>
        <v>1.8024429407042093</v>
      </c>
      <c r="AH124" s="27">
        <v>7921</v>
      </c>
      <c r="AI124" s="26">
        <v>4892.8</v>
      </c>
      <c r="AJ124" s="17">
        <f>AH124/AI124</f>
        <v>1.6189094179202093</v>
      </c>
      <c r="AK124" s="18">
        <f>IF(AG124&gt;=AJ124,1,0)</f>
        <v>1</v>
      </c>
      <c r="AL124" s="28">
        <v>0.01</v>
      </c>
      <c r="AM124" s="28">
        <v>0.01</v>
      </c>
      <c r="AN124" s="18">
        <f>IF(AL124&lt;=AM124,1,0)</f>
        <v>1</v>
      </c>
      <c r="AO124" s="28">
        <v>1.34</v>
      </c>
      <c r="AP124" s="28">
        <v>1.44</v>
      </c>
      <c r="AQ124" s="18">
        <f>IF(AO124&gt;AP124,1,0)</f>
        <v>0</v>
      </c>
      <c r="AR124" s="28">
        <v>9.32</v>
      </c>
      <c r="AS124" s="28">
        <v>11.37</v>
      </c>
      <c r="AT124" s="14">
        <f>IF(AR124&gt;=AS124,1,0)</f>
        <v>0</v>
      </c>
      <c r="AU124" s="20">
        <f>SUM(I124,N124,AB124,AD124,AK124,AN124,AQ124,AT124,F124,W124)</f>
        <v>4</v>
      </c>
    </row>
    <row r="125" spans="1:47" customFormat="1" ht="15.6" x14ac:dyDescent="0.3">
      <c r="A125" s="11">
        <v>124</v>
      </c>
      <c r="B125" s="22" t="s">
        <v>170</v>
      </c>
      <c r="C125" s="23">
        <v>60330.16</v>
      </c>
      <c r="D125" s="24">
        <v>21.69</v>
      </c>
      <c r="E125" s="24">
        <v>16.73</v>
      </c>
      <c r="F125" s="14">
        <f>IF(OR(D125&gt;=E125,D125=0),0,1)</f>
        <v>0</v>
      </c>
      <c r="G125" s="24">
        <v>5.43</v>
      </c>
      <c r="H125" s="24">
        <v>0.9</v>
      </c>
      <c r="I125" s="14">
        <f>IF(AND(H125&lt;=1,H125&gt;0),1,0)</f>
        <v>1</v>
      </c>
      <c r="J125" s="24">
        <v>2508.1799999999998</v>
      </c>
      <c r="K125" s="24">
        <v>2445.61</v>
      </c>
      <c r="L125" s="24">
        <v>30.07</v>
      </c>
      <c r="M125" s="24">
        <v>34.43</v>
      </c>
      <c r="N125" s="14">
        <f>IF(AND(J125&gt;K125,L125&gt;=M125),1,0)</f>
        <v>0</v>
      </c>
      <c r="O125" s="15">
        <v>1162.0999999999999</v>
      </c>
      <c r="P125" s="15">
        <v>-64.8</v>
      </c>
      <c r="Q125" s="15">
        <v>564.5</v>
      </c>
      <c r="R125" s="15">
        <v>1120.0999999999999</v>
      </c>
      <c r="S125" s="15">
        <v>881.9</v>
      </c>
      <c r="T125" s="15">
        <v>723.1</v>
      </c>
      <c r="U125" s="15">
        <v>659.9</v>
      </c>
      <c r="V125" s="15">
        <v>531.20000000000005</v>
      </c>
      <c r="W125" s="14">
        <f>IF(AND(O125&gt;S125,P125&gt;T125,Q125&gt;U125,R125&gt;V125),1,0)</f>
        <v>0</v>
      </c>
      <c r="X125" s="24">
        <v>1214.5999999999999</v>
      </c>
      <c r="Y125" s="24">
        <v>-349.64</v>
      </c>
      <c r="Z125" s="24">
        <v>13.87</v>
      </c>
      <c r="AA125" s="24">
        <v>-4.92</v>
      </c>
      <c r="AB125" s="14">
        <f>IF(AND(X125&gt;Y125,Z125&gt;=AA125,X125&gt;0),1,0)</f>
        <v>1</v>
      </c>
      <c r="AC125" s="12" t="str">
        <f>IF(X125&gt;J125,"Yes","No")</f>
        <v>No</v>
      </c>
      <c r="AD125" s="14">
        <f>IF(X125&gt;J125,1,0)</f>
        <v>0</v>
      </c>
      <c r="AE125" s="26">
        <v>32760.400000000001</v>
      </c>
      <c r="AF125" s="26">
        <v>11789.2</v>
      </c>
      <c r="AG125" s="17">
        <f>AE125/AF125</f>
        <v>2.7788484375530147</v>
      </c>
      <c r="AH125" s="26">
        <v>30899.599999999999</v>
      </c>
      <c r="AI125" s="27">
        <v>13903</v>
      </c>
      <c r="AJ125" s="17">
        <f>AH125/AI125</f>
        <v>2.2225131266633098</v>
      </c>
      <c r="AK125" s="18">
        <f>IF(AG125&gt;=AJ125,1,0)</f>
        <v>1</v>
      </c>
      <c r="AL125" s="28">
        <v>0.93</v>
      </c>
      <c r="AM125" s="28">
        <v>0.98</v>
      </c>
      <c r="AN125" s="18">
        <f>IF(AL125&lt;=AM125,1,0)</f>
        <v>1</v>
      </c>
      <c r="AO125" s="28">
        <v>0.25</v>
      </c>
      <c r="AP125" s="28">
        <v>0.26</v>
      </c>
      <c r="AQ125" s="18">
        <f>IF(AO125&gt;AP125,1,0)</f>
        <v>0</v>
      </c>
      <c r="AR125" s="28">
        <v>54</v>
      </c>
      <c r="AS125" s="28">
        <v>57.02</v>
      </c>
      <c r="AT125" s="14">
        <f>IF(AR125&gt;=AS125,1,0)</f>
        <v>0</v>
      </c>
      <c r="AU125" s="20">
        <f>SUM(I125,N125,AB125,AD125,AK125,AN125,AQ125,AT125,F125,W125)</f>
        <v>4</v>
      </c>
    </row>
    <row r="126" spans="1:47" customFormat="1" ht="15.6" x14ac:dyDescent="0.3">
      <c r="A126" s="11">
        <v>125</v>
      </c>
      <c r="B126" s="22" t="s">
        <v>171</v>
      </c>
      <c r="C126" s="23">
        <v>58596.26</v>
      </c>
      <c r="D126" s="24">
        <v>40.78</v>
      </c>
      <c r="E126" s="24">
        <v>12.63</v>
      </c>
      <c r="F126" s="14">
        <f>IF(OR(D126&gt;=E126,D126=0),0,1)</f>
        <v>0</v>
      </c>
      <c r="G126" s="24">
        <v>1.1399999999999999</v>
      </c>
      <c r="H126" s="24">
        <v>0.34</v>
      </c>
      <c r="I126" s="14">
        <f>IF(AND(H126&lt;=1,H126&gt;0),1,0)</f>
        <v>1</v>
      </c>
      <c r="J126" s="24">
        <v>1490.35</v>
      </c>
      <c r="K126" s="24">
        <v>2942.35</v>
      </c>
      <c r="L126" s="24">
        <v>4.0599999999999996</v>
      </c>
      <c r="M126" s="24">
        <v>9.68</v>
      </c>
      <c r="N126" s="14">
        <f>IF(AND(J126&gt;K126,L126&gt;=M126),1,0)</f>
        <v>0</v>
      </c>
      <c r="O126" s="15">
        <v>453.5</v>
      </c>
      <c r="P126" s="15">
        <v>295.60000000000002</v>
      </c>
      <c r="Q126" s="15">
        <v>340.2</v>
      </c>
      <c r="R126" s="15">
        <v>211.9</v>
      </c>
      <c r="S126" s="15">
        <v>642.6</v>
      </c>
      <c r="T126" s="15">
        <v>731.9</v>
      </c>
      <c r="U126" s="15">
        <v>732.1</v>
      </c>
      <c r="V126" s="15">
        <v>746.9</v>
      </c>
      <c r="W126" s="14">
        <f>IF(AND(O126&gt;S126,P126&gt;T126,Q126&gt;U126,R126&gt;V126),1,0)</f>
        <v>0</v>
      </c>
      <c r="X126" s="24">
        <v>14465.09</v>
      </c>
      <c r="Y126" s="24">
        <v>11542.89</v>
      </c>
      <c r="Z126" s="24">
        <v>37.729999999999997</v>
      </c>
      <c r="AA126" s="24">
        <v>38.06</v>
      </c>
      <c r="AB126" s="14">
        <f>IF(AND(X126&gt;Y126,Z126&gt;=AA126,X126&gt;0),1,0)</f>
        <v>0</v>
      </c>
      <c r="AC126" s="12" t="str">
        <f>IF(X126&gt;J126,"Yes","No")</f>
        <v>Yes</v>
      </c>
      <c r="AD126" s="14">
        <f>IF(X126&gt;J126,1,0)</f>
        <v>1</v>
      </c>
      <c r="AE126" s="26">
        <v>260527.7</v>
      </c>
      <c r="AF126" s="26">
        <v>14758.9</v>
      </c>
      <c r="AG126" s="17">
        <f>AE126/AF126</f>
        <v>17.652243730901354</v>
      </c>
      <c r="AH126" s="26">
        <v>218895.4</v>
      </c>
      <c r="AI126" s="26">
        <v>12430.3</v>
      </c>
      <c r="AJ126" s="17">
        <f>AH126/AI126</f>
        <v>17.609824380747046</v>
      </c>
      <c r="AK126" s="18">
        <f>IF(AG126&gt;=AJ126,1,0)</f>
        <v>1</v>
      </c>
      <c r="AL126" s="28">
        <v>1.02</v>
      </c>
      <c r="AM126" s="28">
        <v>1.58</v>
      </c>
      <c r="AN126" s="18">
        <f>IF(AL126&lt;=AM126,1,0)</f>
        <v>1</v>
      </c>
      <c r="AO126" s="28">
        <v>0.11</v>
      </c>
      <c r="AP126" s="28">
        <v>0.11</v>
      </c>
      <c r="AQ126" s="18">
        <f>IF(AO126&gt;AP126,1,0)</f>
        <v>0</v>
      </c>
      <c r="AR126" s="28">
        <v>16.97</v>
      </c>
      <c r="AS126" s="28">
        <v>17.21</v>
      </c>
      <c r="AT126" s="14">
        <f>IF(AR126&gt;=AS126,1,0)</f>
        <v>0</v>
      </c>
      <c r="AU126" s="20">
        <f>SUM(I126,N126,AB126,AD126,AK126,AN126,AQ126,AT126,F126,W126)</f>
        <v>4</v>
      </c>
    </row>
    <row r="127" spans="1:47" customFormat="1" ht="15.6" x14ac:dyDescent="0.3">
      <c r="A127" s="11">
        <v>126</v>
      </c>
      <c r="B127" s="22" t="s">
        <v>172</v>
      </c>
      <c r="C127" s="23">
        <v>58144.95</v>
      </c>
      <c r="D127" s="24">
        <v>43.06</v>
      </c>
      <c r="E127" s="24">
        <v>31.21</v>
      </c>
      <c r="F127" s="14">
        <f>IF(OR(D127&gt;=E127,D127=0),0,1)</f>
        <v>0</v>
      </c>
      <c r="G127" s="24">
        <v>13.76</v>
      </c>
      <c r="H127" s="24">
        <v>2.15</v>
      </c>
      <c r="I127" s="14">
        <f>IF(AND(H127&lt;=1,H127&gt;0),1,0)</f>
        <v>0</v>
      </c>
      <c r="J127" s="24">
        <v>1286.3900000000001</v>
      </c>
      <c r="K127" s="24">
        <v>1107.32</v>
      </c>
      <c r="L127" s="24">
        <v>51.08</v>
      </c>
      <c r="M127" s="24">
        <v>54.4</v>
      </c>
      <c r="N127" s="14">
        <f>IF(AND(J127&gt;K127,L127&gt;=M127),1,0)</f>
        <v>0</v>
      </c>
      <c r="O127" s="15">
        <v>396.1</v>
      </c>
      <c r="P127" s="15">
        <v>298.60000000000002</v>
      </c>
      <c r="Q127" s="15">
        <v>295.39999999999998</v>
      </c>
      <c r="R127" s="15">
        <v>360.1</v>
      </c>
      <c r="S127" s="15">
        <v>332.3</v>
      </c>
      <c r="T127" s="15">
        <v>342.9</v>
      </c>
      <c r="U127" s="15">
        <v>284.3</v>
      </c>
      <c r="V127" s="15">
        <v>244.4</v>
      </c>
      <c r="W127" s="14">
        <f>IF(AND(O127&gt;S127,P127&gt;T127,Q127&gt;U127,R127&gt;V127),1,0)</f>
        <v>0</v>
      </c>
      <c r="X127" s="24">
        <v>1199.53</v>
      </c>
      <c r="Y127" s="24">
        <v>777.48</v>
      </c>
      <c r="Z127" s="24">
        <v>51.43</v>
      </c>
      <c r="AA127" s="24">
        <v>38.19</v>
      </c>
      <c r="AB127" s="14">
        <f>IF(AND(X127&gt;Y127,Z127&gt;=AA127,X127&gt;0),1,0)</f>
        <v>1</v>
      </c>
      <c r="AC127" s="12" t="str">
        <f>IF(X127&gt;J127,"Yes","No")</f>
        <v>No</v>
      </c>
      <c r="AD127" s="14">
        <f>IF(X127&gt;J127,1,0)</f>
        <v>0</v>
      </c>
      <c r="AE127" s="26">
        <v>3701.3</v>
      </c>
      <c r="AF127" s="28">
        <v>264.10000000000002</v>
      </c>
      <c r="AG127" s="17">
        <f>AE127/AF127</f>
        <v>14.014767133661492</v>
      </c>
      <c r="AH127" s="27">
        <v>3932</v>
      </c>
      <c r="AI127" s="28">
        <v>227</v>
      </c>
      <c r="AJ127" s="17">
        <f>AH127/AI127</f>
        <v>17.321585903083701</v>
      </c>
      <c r="AK127" s="18">
        <f>IF(AG127&gt;=AJ127,1,0)</f>
        <v>0</v>
      </c>
      <c r="AL127" s="28">
        <v>0</v>
      </c>
      <c r="AM127" s="28">
        <v>0</v>
      </c>
      <c r="AN127" s="18">
        <f>IF(AL127&lt;=AM127,1,0)</f>
        <v>1</v>
      </c>
      <c r="AO127" s="28">
        <v>0.49</v>
      </c>
      <c r="AP127" s="28">
        <v>0.4</v>
      </c>
      <c r="AQ127" s="18">
        <f>IF(AO127&gt;AP127,1,0)</f>
        <v>1</v>
      </c>
      <c r="AR127" s="28">
        <v>57.19</v>
      </c>
      <c r="AS127" s="28">
        <v>48.78</v>
      </c>
      <c r="AT127" s="14">
        <f>IF(AR127&gt;=AS127,1,0)</f>
        <v>1</v>
      </c>
      <c r="AU127" s="20">
        <f>SUM(I127,N127,AB127,AD127,AK127,AN127,AQ127,AT127,F127,W127)</f>
        <v>4</v>
      </c>
    </row>
    <row r="128" spans="1:47" customFormat="1" ht="15.6" x14ac:dyDescent="0.3">
      <c r="A128" s="11">
        <v>127</v>
      </c>
      <c r="B128" s="22" t="s">
        <v>173</v>
      </c>
      <c r="C128" s="23">
        <v>54916.65</v>
      </c>
      <c r="D128" s="24">
        <v>55.03</v>
      </c>
      <c r="E128" s="24">
        <v>55.03</v>
      </c>
      <c r="F128" s="14">
        <f>IF(OR(D128&gt;=E128,D128=0),0,1)</f>
        <v>0</v>
      </c>
      <c r="G128" s="24">
        <v>19.28</v>
      </c>
      <c r="H128" s="24">
        <v>-16</v>
      </c>
      <c r="I128" s="14">
        <f>IF(AND(H128&lt;=1,H128&gt;0),1,0)</f>
        <v>0</v>
      </c>
      <c r="J128" s="24">
        <v>1836.78</v>
      </c>
      <c r="K128" s="24">
        <v>969.58</v>
      </c>
      <c r="L128" s="24">
        <v>5.74</v>
      </c>
      <c r="M128" s="24">
        <v>5.14</v>
      </c>
      <c r="N128" s="14">
        <f>IF(AND(J128&gt;K128,L128&gt;=M128),1,0)</f>
        <v>1</v>
      </c>
      <c r="O128" s="15">
        <v>190</v>
      </c>
      <c r="P128" s="15">
        <v>1040.3</v>
      </c>
      <c r="Q128" s="15">
        <v>236</v>
      </c>
      <c r="R128" s="15">
        <v>227.2</v>
      </c>
      <c r="S128" s="15">
        <v>332.8</v>
      </c>
      <c r="T128" s="15">
        <v>321.2</v>
      </c>
      <c r="U128" s="15">
        <v>44.8</v>
      </c>
      <c r="V128" s="15">
        <v>220.7</v>
      </c>
      <c r="W128" s="14">
        <f>IF(AND(O128&gt;S128,P128&gt;T128,Q128&gt;U128,R128&gt;V128),1,0)</f>
        <v>0</v>
      </c>
      <c r="X128" s="24">
        <v>2910.81</v>
      </c>
      <c r="Y128" s="24">
        <v>3182</v>
      </c>
      <c r="Z128" s="24">
        <v>12.21</v>
      </c>
      <c r="AA128" s="24">
        <v>15.17</v>
      </c>
      <c r="AB128" s="14">
        <f>IF(AND(X128&gt;Y128,Z128&gt;=AA128,X128&gt;0),1,0)</f>
        <v>0</v>
      </c>
      <c r="AC128" s="12" t="str">
        <f>IF(X128&gt;J128,"Yes","No")</f>
        <v>Yes</v>
      </c>
      <c r="AD128" s="14">
        <f>IF(X128&gt;J128,1,0)</f>
        <v>1</v>
      </c>
      <c r="AE128" s="26">
        <v>7238.7</v>
      </c>
      <c r="AF128" s="26">
        <v>12503.9</v>
      </c>
      <c r="AG128" s="17">
        <f>AE128/AF128</f>
        <v>0.57891537840193863</v>
      </c>
      <c r="AH128" s="26">
        <v>5998.9</v>
      </c>
      <c r="AI128" s="26">
        <v>13670.7</v>
      </c>
      <c r="AJ128" s="17">
        <f>AH128/AI128</f>
        <v>0.43881439867746341</v>
      </c>
      <c r="AK128" s="18">
        <f>IF(AG128&gt;=AJ128,1,0)</f>
        <v>1</v>
      </c>
      <c r="AL128" s="28">
        <v>2.3199999999999998</v>
      </c>
      <c r="AM128" s="28">
        <v>2.66</v>
      </c>
      <c r="AN128" s="18">
        <f>IF(AL128&lt;=AM128,1,0)</f>
        <v>1</v>
      </c>
      <c r="AO128" s="28">
        <v>0.9</v>
      </c>
      <c r="AP128" s="28">
        <v>0.93</v>
      </c>
      <c r="AQ128" s="18">
        <f>IF(AO128&gt;AP128,1,0)</f>
        <v>0</v>
      </c>
      <c r="AR128" s="28">
        <v>19.66</v>
      </c>
      <c r="AS128" s="28">
        <v>19.91</v>
      </c>
      <c r="AT128" s="14">
        <f>IF(AR128&gt;=AS128,1,0)</f>
        <v>0</v>
      </c>
      <c r="AU128" s="20">
        <f>SUM(I128,N128,AB128,AD128,AK128,AN128,AQ128,AT128,F128,W128)</f>
        <v>4</v>
      </c>
    </row>
    <row r="129" spans="1:47" customFormat="1" ht="15.6" x14ac:dyDescent="0.3">
      <c r="A129" s="11">
        <v>128</v>
      </c>
      <c r="B129" s="22" t="s">
        <v>174</v>
      </c>
      <c r="C129" s="23">
        <v>52234.84</v>
      </c>
      <c r="D129" s="24">
        <v>13.24</v>
      </c>
      <c r="E129" s="24">
        <v>12.63</v>
      </c>
      <c r="F129" s="14">
        <f>IF(OR(D129&gt;=E129,D129=0),0,1)</f>
        <v>0</v>
      </c>
      <c r="G129" s="24">
        <v>1.44</v>
      </c>
      <c r="H129" s="24">
        <v>0.47</v>
      </c>
      <c r="I129" s="14">
        <f>IF(AND(H129&lt;=1,H129&gt;0),1,0)</f>
        <v>1</v>
      </c>
      <c r="J129" s="24">
        <v>4234.0200000000004</v>
      </c>
      <c r="K129" s="24">
        <v>3964.04</v>
      </c>
      <c r="L129" s="24">
        <v>15.06</v>
      </c>
      <c r="M129" s="24">
        <v>16.79</v>
      </c>
      <c r="N129" s="14">
        <f>IF(AND(J129&gt;K129,L129&gt;=M129),1,0)</f>
        <v>0</v>
      </c>
      <c r="O129" s="15">
        <v>918.3</v>
      </c>
      <c r="P129" s="15">
        <v>1090.9000000000001</v>
      </c>
      <c r="Q129" s="15">
        <v>944.2</v>
      </c>
      <c r="R129" s="15">
        <v>1096.3</v>
      </c>
      <c r="S129" s="15">
        <v>1027.5</v>
      </c>
      <c r="T129" s="15">
        <v>970.8</v>
      </c>
      <c r="U129" s="15">
        <v>1035.4000000000001</v>
      </c>
      <c r="V129" s="15">
        <v>994.1</v>
      </c>
      <c r="W129" s="14">
        <f>IF(AND(O129&gt;S129,P129&gt;T129,Q129&gt;U129,R129&gt;V129),1,0)</f>
        <v>0</v>
      </c>
      <c r="X129" s="24">
        <v>8800.92</v>
      </c>
      <c r="Y129" s="24">
        <v>6431.17</v>
      </c>
      <c r="Z129" s="24">
        <v>30.62</v>
      </c>
      <c r="AA129" s="24">
        <v>27.29</v>
      </c>
      <c r="AB129" s="14">
        <f>IF(AND(X129&gt;Y129,Z129&gt;=AA129,X129&gt;0),1,0)</f>
        <v>1</v>
      </c>
      <c r="AC129" s="12" t="str">
        <f>IF(X129&gt;J129,"Yes","No")</f>
        <v>Yes</v>
      </c>
      <c r="AD129" s="14">
        <f>IF(X129&gt;J129,1,0)</f>
        <v>1</v>
      </c>
      <c r="AE129" s="26">
        <v>292566.7</v>
      </c>
      <c r="AF129" s="26">
        <v>8619.4</v>
      </c>
      <c r="AG129" s="17">
        <f>AE129/AF129</f>
        <v>33.942815045130757</v>
      </c>
      <c r="AH129" s="26">
        <v>255732.8</v>
      </c>
      <c r="AI129" s="26">
        <v>9298.5</v>
      </c>
      <c r="AJ129" s="17">
        <f>AH129/AI129</f>
        <v>27.502586438672903</v>
      </c>
      <c r="AK129" s="18">
        <f>IF(AG129&gt;=AJ129,1,0)</f>
        <v>1</v>
      </c>
      <c r="AL129" s="28">
        <v>0.94</v>
      </c>
      <c r="AM129" s="28">
        <v>0.84</v>
      </c>
      <c r="AN129" s="18">
        <f>IF(AL129&lt;=AM129,1,0)</f>
        <v>0</v>
      </c>
      <c r="AO129" s="28">
        <v>0.08</v>
      </c>
      <c r="AP129" s="28">
        <v>0.08</v>
      </c>
      <c r="AQ129" s="18">
        <f>IF(AO129&gt;AP129,1,0)</f>
        <v>0</v>
      </c>
      <c r="AR129" s="28">
        <v>20.32</v>
      </c>
      <c r="AS129" s="28">
        <v>20.61</v>
      </c>
      <c r="AT129" s="14">
        <f>IF(AR129&gt;=AS129,1,0)</f>
        <v>0</v>
      </c>
      <c r="AU129" s="20">
        <f>SUM(I129,N129,AB129,AD129,AK129,AN129,AQ129,AT129,F129,W129)</f>
        <v>4</v>
      </c>
    </row>
    <row r="130" spans="1:47" customFormat="1" ht="15.6" x14ac:dyDescent="0.3">
      <c r="A130" s="11">
        <v>129</v>
      </c>
      <c r="B130" s="12" t="s">
        <v>175</v>
      </c>
      <c r="C130" s="13">
        <v>1917280.19</v>
      </c>
      <c r="D130" s="12">
        <v>25.02</v>
      </c>
      <c r="E130" s="12">
        <v>20.38</v>
      </c>
      <c r="F130" s="14">
        <f>IF(OR(D130&gt;=E130,D130=0),0,1)</f>
        <v>0</v>
      </c>
      <c r="G130" s="12">
        <v>2.19</v>
      </c>
      <c r="H130" s="12">
        <v>4.66</v>
      </c>
      <c r="I130" s="14">
        <f>IF(AND(H130&lt;=1,H130&gt;0),1,0)</f>
        <v>0</v>
      </c>
      <c r="J130" s="12">
        <v>81309</v>
      </c>
      <c r="K130" s="12">
        <v>79020</v>
      </c>
      <c r="L130" s="12">
        <v>8.33</v>
      </c>
      <c r="M130" s="12">
        <v>8.65</v>
      </c>
      <c r="N130" s="14">
        <f>IF(AND(J130&gt;K130,L130&gt;=M130),1,0)</f>
        <v>0</v>
      </c>
      <c r="O130" s="15">
        <v>26994</v>
      </c>
      <c r="P130" s="15">
        <v>19407</v>
      </c>
      <c r="Q130" s="15">
        <v>18540</v>
      </c>
      <c r="R130" s="15">
        <v>16563</v>
      </c>
      <c r="S130" s="15">
        <v>15138</v>
      </c>
      <c r="T130" s="15">
        <v>18951</v>
      </c>
      <c r="U130" s="15">
        <v>17265</v>
      </c>
      <c r="V130" s="15">
        <v>17394</v>
      </c>
      <c r="W130" s="14">
        <f>IF(AND(O130&gt;S130,P130&gt;T130,Q130&gt;U130,R130&gt;V130),1,0)</f>
        <v>0</v>
      </c>
      <c r="X130" s="12">
        <v>178703</v>
      </c>
      <c r="Y130" s="12">
        <v>158788</v>
      </c>
      <c r="Z130" s="12">
        <v>17.88</v>
      </c>
      <c r="AA130" s="12">
        <v>17.66</v>
      </c>
      <c r="AB130" s="14">
        <f>IF(AND(X130&gt;Y130,Z130&gt;=AA130,X130&gt;0),1,0)</f>
        <v>1</v>
      </c>
      <c r="AC130" s="12" t="str">
        <f>IF(X130&gt;J130,"Yes","No")</f>
        <v>Yes</v>
      </c>
      <c r="AD130" s="14">
        <f>IF(X130&gt;J130,1,0)</f>
        <v>1</v>
      </c>
      <c r="AE130" s="25">
        <v>499270</v>
      </c>
      <c r="AF130" s="25">
        <v>453737</v>
      </c>
      <c r="AG130" s="17">
        <f>AE130/AF130</f>
        <v>1.1003510844387827</v>
      </c>
      <c r="AH130" s="25">
        <v>470100</v>
      </c>
      <c r="AI130" s="25">
        <v>397367</v>
      </c>
      <c r="AJ130" s="17">
        <f>AH130/AI130</f>
        <v>1.1830373433123536</v>
      </c>
      <c r="AK130" s="18">
        <f>IF(AG130&gt;=AJ130,1,0)</f>
        <v>0</v>
      </c>
      <c r="AL130" s="19">
        <v>0.28000000000000003</v>
      </c>
      <c r="AM130" s="19">
        <v>0.28000000000000003</v>
      </c>
      <c r="AN130" s="18">
        <f>IF(AL130&lt;=AM130,1,0)</f>
        <v>1</v>
      </c>
      <c r="AO130" s="19">
        <v>0.52</v>
      </c>
      <c r="AP130" s="19">
        <v>0.54</v>
      </c>
      <c r="AQ130" s="18">
        <f>IF(AO130&gt;AP130,1,0)</f>
        <v>0</v>
      </c>
      <c r="AR130" s="19">
        <v>16.84</v>
      </c>
      <c r="AS130" s="19">
        <v>17.690000000000001</v>
      </c>
      <c r="AT130" s="14">
        <f>IF(AR130&gt;=AS130,1,0)</f>
        <v>0</v>
      </c>
      <c r="AU130" s="20">
        <f>SUM(I130,N130,AB130,AD130,AK130,AN130,AQ130,AT130,F130,W130)</f>
        <v>3</v>
      </c>
    </row>
    <row r="131" spans="1:47" customFormat="1" ht="15.6" x14ac:dyDescent="0.3">
      <c r="A131" s="11">
        <v>130</v>
      </c>
      <c r="B131" s="12" t="s">
        <v>177</v>
      </c>
      <c r="C131" s="13">
        <v>438643.74</v>
      </c>
      <c r="D131" s="12">
        <v>22.91</v>
      </c>
      <c r="E131" s="12">
        <v>12.63</v>
      </c>
      <c r="F131" s="14">
        <f>IF(OR(D131&gt;=E131,D131=0),0,1)</f>
        <v>0</v>
      </c>
      <c r="G131" s="12">
        <v>2.78</v>
      </c>
      <c r="H131" s="12">
        <v>1.03</v>
      </c>
      <c r="I131" s="14">
        <f>IF(AND(H131&lt;=1,H131&gt;0),1,0)</f>
        <v>0</v>
      </c>
      <c r="J131" s="12">
        <v>22125.99</v>
      </c>
      <c r="K131" s="12">
        <v>18213.21</v>
      </c>
      <c r="L131" s="12">
        <v>33.64</v>
      </c>
      <c r="M131" s="12">
        <v>32.380000000000003</v>
      </c>
      <c r="N131" s="14">
        <f>IF(AND(J131&gt;K131,L131&gt;=M131),1,0)</f>
        <v>1</v>
      </c>
      <c r="O131" s="15">
        <v>4472.2</v>
      </c>
      <c r="P131" s="15">
        <v>4932.8</v>
      </c>
      <c r="Q131" s="15">
        <v>4701</v>
      </c>
      <c r="R131" s="15">
        <v>5044.1000000000004</v>
      </c>
      <c r="S131" s="15">
        <v>7448.2</v>
      </c>
      <c r="T131" s="15">
        <v>5337.2</v>
      </c>
      <c r="U131" s="15">
        <v>4264.8</v>
      </c>
      <c r="V131" s="15">
        <v>4461</v>
      </c>
      <c r="W131" s="14">
        <f>IF(AND(O131&gt;S131,P131&gt;T131,Q131&gt;U131,R131&gt;V131),1,0)</f>
        <v>0</v>
      </c>
      <c r="X131" s="12">
        <v>16915.73</v>
      </c>
      <c r="Y131" s="12">
        <v>15685</v>
      </c>
      <c r="Z131" s="12">
        <v>25.22</v>
      </c>
      <c r="AA131" s="12">
        <v>27.89</v>
      </c>
      <c r="AB131" s="14">
        <f>IF(AND(X131&gt;Y131,Z131&gt;=AA131,X131&gt;0),1,0)</f>
        <v>0</v>
      </c>
      <c r="AC131" s="12" t="str">
        <f>IF(X131&gt;J131,"Yes","No")</f>
        <v>No</v>
      </c>
      <c r="AD131" s="14">
        <f>IF(X131&gt;J131,1,0)</f>
        <v>0</v>
      </c>
      <c r="AE131" s="16">
        <v>591760.80000000005</v>
      </c>
      <c r="AF131" s="16">
        <v>44834.400000000001</v>
      </c>
      <c r="AG131" s="17">
        <f>AE131/AF131</f>
        <v>13.198811626786576</v>
      </c>
      <c r="AH131" s="25">
        <v>517711</v>
      </c>
      <c r="AI131" s="16">
        <v>43945.3</v>
      </c>
      <c r="AJ131" s="17">
        <f>AH131/AI131</f>
        <v>11.78080477320669</v>
      </c>
      <c r="AK131" s="18">
        <f>IF(AG131&gt;=AJ131,1,0)</f>
        <v>1</v>
      </c>
      <c r="AL131" s="19">
        <v>0.62</v>
      </c>
      <c r="AM131" s="19">
        <v>0.57999999999999996</v>
      </c>
      <c r="AN131" s="18">
        <f>IF(AL131&lt;=AM131,1,0)</f>
        <v>0</v>
      </c>
      <c r="AO131" s="19">
        <v>0.08</v>
      </c>
      <c r="AP131" s="19">
        <v>0.08</v>
      </c>
      <c r="AQ131" s="18">
        <f>IF(AO131&gt;AP131,1,0)</f>
        <v>0</v>
      </c>
      <c r="AR131" s="19">
        <v>30.73</v>
      </c>
      <c r="AS131" s="19">
        <v>27.41</v>
      </c>
      <c r="AT131" s="14">
        <f>IF(AR131&gt;=AS131,1,0)</f>
        <v>1</v>
      </c>
      <c r="AU131" s="20">
        <f>SUM(I131,N131,AB131,AD131,AK131,AN131,AQ131,AT131,F131,W131)</f>
        <v>3</v>
      </c>
    </row>
    <row r="132" spans="1:47" customFormat="1" ht="15.6" x14ac:dyDescent="0.3">
      <c r="A132" s="11">
        <v>131</v>
      </c>
      <c r="B132" s="12" t="s">
        <v>178</v>
      </c>
      <c r="C132" s="13">
        <v>294246.84000000003</v>
      </c>
      <c r="D132" s="12">
        <v>82.12</v>
      </c>
      <c r="E132" s="12">
        <v>82.12</v>
      </c>
      <c r="F132" s="14">
        <f>IF(OR(D132&gt;=E132,D132=0),0,1)</f>
        <v>0</v>
      </c>
      <c r="G132" s="12">
        <v>5.85</v>
      </c>
      <c r="H132" s="12">
        <v>1.05</v>
      </c>
      <c r="I132" s="14">
        <f>IF(AND(H132&lt;=1,H132&gt;0),1,0)</f>
        <v>0</v>
      </c>
      <c r="J132" s="12">
        <v>8004.99</v>
      </c>
      <c r="K132" s="12">
        <v>3335.27</v>
      </c>
      <c r="L132" s="12">
        <v>5.05</v>
      </c>
      <c r="M132" s="12">
        <v>3.75</v>
      </c>
      <c r="N132" s="14">
        <f>IF(AND(J132&gt;K132,L132&gt;=M132),1,0)</f>
        <v>1</v>
      </c>
      <c r="O132" s="15">
        <v>3844.9</v>
      </c>
      <c r="P132" s="15">
        <v>57.8</v>
      </c>
      <c r="Q132" s="15">
        <v>1741.8</v>
      </c>
      <c r="R132" s="15">
        <v>1454.5</v>
      </c>
      <c r="S132" s="15">
        <v>450.6</v>
      </c>
      <c r="T132" s="15">
        <v>1888.5</v>
      </c>
      <c r="U132" s="15">
        <v>227.8</v>
      </c>
      <c r="V132" s="15">
        <v>673.9</v>
      </c>
      <c r="W132" s="14">
        <f>IF(AND(O132&gt;S132,P132&gt;T132,Q132&gt;U132,R132&gt;V132),1,0)</f>
        <v>0</v>
      </c>
      <c r="X132" s="12">
        <v>4513.1000000000004</v>
      </c>
      <c r="Y132" s="12">
        <v>10312.19</v>
      </c>
      <c r="Z132" s="12">
        <v>4.78</v>
      </c>
      <c r="AA132" s="12">
        <v>10.69</v>
      </c>
      <c r="AB132" s="14">
        <f>IF(AND(X132&gt;Y132,Z132&gt;=AA132,X132&gt;0),1,0)</f>
        <v>0</v>
      </c>
      <c r="AC132" s="12" t="str">
        <f>IF(X132&gt;J132,"Yes","No")</f>
        <v>No</v>
      </c>
      <c r="AD132" s="14">
        <f>IF(X132&gt;J132,1,0)</f>
        <v>0</v>
      </c>
      <c r="AE132" s="16">
        <v>40744.5</v>
      </c>
      <c r="AF132" s="16">
        <v>47383.199999999997</v>
      </c>
      <c r="AG132" s="17">
        <f>AE132/AF132</f>
        <v>0.85989337993212789</v>
      </c>
      <c r="AH132" s="16">
        <v>36860.1</v>
      </c>
      <c r="AI132" s="16">
        <v>44651.7</v>
      </c>
      <c r="AJ132" s="17">
        <f>AH132/AI132</f>
        <v>0.82550272442034689</v>
      </c>
      <c r="AK132" s="18">
        <f>IF(AG132&gt;=AJ132,1,0)</f>
        <v>1</v>
      </c>
      <c r="AL132" s="19">
        <v>1.35</v>
      </c>
      <c r="AM132" s="19">
        <v>1.24</v>
      </c>
      <c r="AN132" s="18">
        <f>IF(AL132&lt;=AM132,1,0)</f>
        <v>0</v>
      </c>
      <c r="AO132" s="19">
        <v>0.55000000000000004</v>
      </c>
      <c r="AP132" s="19">
        <v>0.64</v>
      </c>
      <c r="AQ132" s="18">
        <f>IF(AO132&gt;AP132,1,0)</f>
        <v>0</v>
      </c>
      <c r="AR132" s="19">
        <v>14.2</v>
      </c>
      <c r="AS132" s="19">
        <v>11.58</v>
      </c>
      <c r="AT132" s="14">
        <f>IF(AR132&gt;=AS132,1,0)</f>
        <v>1</v>
      </c>
      <c r="AU132" s="20">
        <f>SUM(I132,N132,AB132,AD132,AK132,AN132,AQ132,AT132,F132,W132)</f>
        <v>3</v>
      </c>
    </row>
    <row r="133" spans="1:47" customFormat="1" ht="15.6" x14ac:dyDescent="0.3">
      <c r="A133" s="11">
        <v>132</v>
      </c>
      <c r="B133" s="12" t="s">
        <v>179</v>
      </c>
      <c r="C133" s="13">
        <v>284479.65999999997</v>
      </c>
      <c r="D133" s="12">
        <v>46.53</v>
      </c>
      <c r="E133" s="12">
        <v>21.73</v>
      </c>
      <c r="F133" s="14">
        <f>IF(OR(D133&gt;=E133,D133=0),0,1)</f>
        <v>0</v>
      </c>
      <c r="G133" s="12">
        <v>3.58</v>
      </c>
      <c r="H133" s="12">
        <v>-1.08</v>
      </c>
      <c r="I133" s="14">
        <f>IF(AND(H133&lt;=1,H133&gt;0),1,0)</f>
        <v>0</v>
      </c>
      <c r="J133" s="12">
        <v>3491</v>
      </c>
      <c r="K133" s="12">
        <v>8973</v>
      </c>
      <c r="L133" s="12">
        <v>2.29</v>
      </c>
      <c r="M133" s="12">
        <v>4.92</v>
      </c>
      <c r="N133" s="14">
        <f>IF(AND(J133&gt;K133,L133&gt;=M133),1,0)</f>
        <v>0</v>
      </c>
      <c r="O133" s="15">
        <v>2184</v>
      </c>
      <c r="P133" s="15">
        <v>1503</v>
      </c>
      <c r="Q133" s="15">
        <v>717</v>
      </c>
      <c r="R133" s="15">
        <v>439</v>
      </c>
      <c r="S133" s="15">
        <v>845</v>
      </c>
      <c r="T133" s="15">
        <v>1299</v>
      </c>
      <c r="U133" s="15">
        <v>2415</v>
      </c>
      <c r="V133" s="15">
        <v>2760</v>
      </c>
      <c r="W133" s="14">
        <f>IF(AND(O133&gt;S133,P133&gt;T133,Q133&gt;U133,R133&gt;V133),1,0)</f>
        <v>0</v>
      </c>
      <c r="X133" s="12">
        <v>20899</v>
      </c>
      <c r="Y133" s="12">
        <v>12078</v>
      </c>
      <c r="Z133" s="12">
        <v>11.98</v>
      </c>
      <c r="AA133" s="12">
        <v>6.9</v>
      </c>
      <c r="AB133" s="14">
        <f>IF(AND(X133&gt;Y133,Z133&gt;=AA133,X133&gt;0),1,0)</f>
        <v>1</v>
      </c>
      <c r="AC133" s="12" t="str">
        <f>IF(X133&gt;J133,"Yes","No")</f>
        <v>Yes</v>
      </c>
      <c r="AD133" s="14">
        <f>IF(X133&gt;J133,1,0)</f>
        <v>1</v>
      </c>
      <c r="AE133" s="25">
        <v>70736</v>
      </c>
      <c r="AF133" s="25">
        <v>60626</v>
      </c>
      <c r="AG133" s="17">
        <f>AE133/AF133</f>
        <v>1.1667601359152839</v>
      </c>
      <c r="AH133" s="25">
        <v>64534</v>
      </c>
      <c r="AI133" s="25">
        <v>66065</v>
      </c>
      <c r="AJ133" s="17">
        <f>AH133/AI133</f>
        <v>0.97682585332626959</v>
      </c>
      <c r="AK133" s="18">
        <f>IF(AG133&gt;=AJ133,1,0)</f>
        <v>1</v>
      </c>
      <c r="AL133" s="19">
        <v>1.03</v>
      </c>
      <c r="AM133" s="19">
        <v>0.87</v>
      </c>
      <c r="AN133" s="18">
        <f>IF(AL133&lt;=AM133,1,0)</f>
        <v>0</v>
      </c>
      <c r="AO133" s="19">
        <v>0.72</v>
      </c>
      <c r="AP133" s="19">
        <v>0.8</v>
      </c>
      <c r="AQ133" s="18">
        <f>IF(AO133&gt;AP133,1,0)</f>
        <v>0</v>
      </c>
      <c r="AR133" s="19">
        <v>13.51</v>
      </c>
      <c r="AS133" s="19">
        <v>16.04</v>
      </c>
      <c r="AT133" s="14">
        <f>IF(AR133&gt;=AS133,1,0)</f>
        <v>0</v>
      </c>
      <c r="AU133" s="20">
        <f>SUM(I133,N133,AB133,AD133,AK133,AN133,AQ133,AT133,F133,W133)</f>
        <v>3</v>
      </c>
    </row>
    <row r="134" spans="1:47" customFormat="1" ht="15.6" x14ac:dyDescent="0.3">
      <c r="A134" s="11">
        <v>133</v>
      </c>
      <c r="B134" s="12" t="s">
        <v>180</v>
      </c>
      <c r="C134" s="13">
        <v>269485</v>
      </c>
      <c r="D134" s="12">
        <v>17.47</v>
      </c>
      <c r="E134" s="12">
        <v>17.47</v>
      </c>
      <c r="F134" s="14">
        <f>IF(OR(D134&gt;=E134,D134=0),0,1)</f>
        <v>0</v>
      </c>
      <c r="G134" s="12">
        <v>2.91</v>
      </c>
      <c r="H134" s="12">
        <v>6.31</v>
      </c>
      <c r="I134" s="14">
        <f>IF(AND(H134&lt;=1,H134&gt;0),1,0)</f>
        <v>0</v>
      </c>
      <c r="J134" s="12">
        <v>15521.44</v>
      </c>
      <c r="K134" s="12">
        <v>15573.16</v>
      </c>
      <c r="L134" s="12">
        <v>33.380000000000003</v>
      </c>
      <c r="M134" s="12">
        <v>33.799999999999997</v>
      </c>
      <c r="N134" s="14">
        <f>IF(AND(J134&gt;K134,L134&gt;=M134),1,0)</f>
        <v>0</v>
      </c>
      <c r="O134" s="15">
        <v>4142.8999999999996</v>
      </c>
      <c r="P134" s="15">
        <v>3861.6</v>
      </c>
      <c r="Q134" s="15">
        <v>3793</v>
      </c>
      <c r="R134" s="15">
        <v>3723.9</v>
      </c>
      <c r="S134" s="15">
        <v>4166.3</v>
      </c>
      <c r="T134" s="15">
        <v>4028.3</v>
      </c>
      <c r="U134" s="15">
        <v>3781.4</v>
      </c>
      <c r="V134" s="15">
        <v>3597.2</v>
      </c>
      <c r="W134" s="14">
        <f>IF(AND(O134&gt;S134,P134&gt;T134,Q134&gt;U134,R134&gt;V134),1,0)</f>
        <v>0</v>
      </c>
      <c r="X134" s="12">
        <v>36223.29</v>
      </c>
      <c r="Y134" s="12">
        <v>37289.5</v>
      </c>
      <c r="Z134" s="12">
        <v>78.78</v>
      </c>
      <c r="AA134" s="12">
        <v>81.34</v>
      </c>
      <c r="AB134" s="14">
        <f>IF(AND(X134&gt;Y134,Z134&gt;=AA134,X134&gt;0),1,0)</f>
        <v>0</v>
      </c>
      <c r="AC134" s="12" t="str">
        <f>IF(X134&gt;J134,"Yes","No")</f>
        <v>Yes</v>
      </c>
      <c r="AD134" s="14">
        <f>IF(X134&gt;J134,1,0)</f>
        <v>1</v>
      </c>
      <c r="AE134" s="16">
        <v>39376.1</v>
      </c>
      <c r="AF134" s="16">
        <v>40245.1</v>
      </c>
      <c r="AG134" s="17">
        <f>AE134/AF134</f>
        <v>0.97840730921279861</v>
      </c>
      <c r="AH134" s="16">
        <v>36594.6</v>
      </c>
      <c r="AI134" s="16">
        <v>43882.7</v>
      </c>
      <c r="AJ134" s="17">
        <f>AH134/AI134</f>
        <v>0.8339186057375686</v>
      </c>
      <c r="AK134" s="18">
        <f>IF(AG134&gt;=AJ134,1,0)</f>
        <v>1</v>
      </c>
      <c r="AL134" s="19">
        <v>1.19</v>
      </c>
      <c r="AM134" s="19">
        <v>1.21</v>
      </c>
      <c r="AN134" s="18">
        <f>IF(AL134&lt;=AM134,1,0)</f>
        <v>1</v>
      </c>
      <c r="AO134" s="19">
        <v>0.18</v>
      </c>
      <c r="AP134" s="19">
        <v>0.18</v>
      </c>
      <c r="AQ134" s="18">
        <f>IF(AO134&gt;AP134,1,0)</f>
        <v>0</v>
      </c>
      <c r="AR134" s="19">
        <v>82.31</v>
      </c>
      <c r="AS134" s="19">
        <v>85.06</v>
      </c>
      <c r="AT134" s="14">
        <f>IF(AR134&gt;=AS134,1,0)</f>
        <v>0</v>
      </c>
      <c r="AU134" s="20">
        <f>SUM(I134,N134,AB134,AD134,AK134,AN134,AQ134,AT134,F134,W134)</f>
        <v>3</v>
      </c>
    </row>
    <row r="135" spans="1:47" customFormat="1" ht="15.6" x14ac:dyDescent="0.3">
      <c r="A135" s="11">
        <v>134</v>
      </c>
      <c r="B135" s="22" t="s">
        <v>181</v>
      </c>
      <c r="C135" s="23">
        <v>146520.18</v>
      </c>
      <c r="D135" s="24">
        <v>66.78</v>
      </c>
      <c r="E135" s="24">
        <v>60.93</v>
      </c>
      <c r="F135" s="14">
        <f>IF(OR(D135&gt;=E135,D135=0),0,1)</f>
        <v>0</v>
      </c>
      <c r="G135" s="24">
        <v>33.64</v>
      </c>
      <c r="H135" s="24">
        <v>5.16</v>
      </c>
      <c r="I135" s="14">
        <f>IF(AND(H135&lt;=1,H135&gt;0),1,0)</f>
        <v>0</v>
      </c>
      <c r="J135" s="24">
        <v>2177.86</v>
      </c>
      <c r="K135" s="24">
        <v>2134.2199999999998</v>
      </c>
      <c r="L135" s="24">
        <v>12.24</v>
      </c>
      <c r="M135" s="24">
        <v>12.74</v>
      </c>
      <c r="N135" s="14">
        <f>IF(AND(J135&gt;K135,L135&gt;=M135),1,0)</f>
        <v>0</v>
      </c>
      <c r="O135" s="15">
        <v>560</v>
      </c>
      <c r="P135" s="15">
        <v>581.70000000000005</v>
      </c>
      <c r="Q135" s="15">
        <v>531.5</v>
      </c>
      <c r="R135" s="15">
        <v>505.6</v>
      </c>
      <c r="S135" s="15">
        <v>538.29999999999995</v>
      </c>
      <c r="T135" s="15">
        <v>556.4</v>
      </c>
      <c r="U135" s="15">
        <v>587.6</v>
      </c>
      <c r="V135" s="15">
        <v>457.6</v>
      </c>
      <c r="W135" s="14">
        <f>IF(AND(O135&gt;S135,P135&gt;T135,Q135&gt;U135,R135&gt;V135),1,0)</f>
        <v>0</v>
      </c>
      <c r="X135" s="24">
        <v>2480.65</v>
      </c>
      <c r="Y135" s="24">
        <v>2572.98</v>
      </c>
      <c r="Z135" s="24">
        <v>13.54</v>
      </c>
      <c r="AA135" s="24">
        <v>15.34</v>
      </c>
      <c r="AB135" s="14">
        <f>IF(AND(X135&gt;Y135,Z135&gt;=AA135,X135&gt;0),1,0)</f>
        <v>0</v>
      </c>
      <c r="AC135" s="12" t="str">
        <f>IF(X135&gt;J135,"Yes","No")</f>
        <v>Yes</v>
      </c>
      <c r="AD135" s="14">
        <f>IF(X135&gt;J135,1,0)</f>
        <v>1</v>
      </c>
      <c r="AE135" s="16">
        <v>3913.7</v>
      </c>
      <c r="AF135" s="16">
        <v>3618.3</v>
      </c>
      <c r="AG135" s="17">
        <f>AE135/AF135</f>
        <v>1.08164054942929</v>
      </c>
      <c r="AH135" s="16">
        <v>4848.7</v>
      </c>
      <c r="AI135" s="16">
        <v>4084.4</v>
      </c>
      <c r="AJ135" s="17">
        <f>AH135/AI135</f>
        <v>1.1871266281461168</v>
      </c>
      <c r="AK135" s="18">
        <f>IF(AG135&gt;=AJ135,1,0)</f>
        <v>0</v>
      </c>
      <c r="AL135" s="19">
        <v>0.16</v>
      </c>
      <c r="AM135" s="19">
        <v>0.23</v>
      </c>
      <c r="AN135" s="18">
        <f>IF(AL135&lt;=AM135,1,0)</f>
        <v>1</v>
      </c>
      <c r="AO135" s="19">
        <v>2</v>
      </c>
      <c r="AP135" s="19">
        <v>1.82</v>
      </c>
      <c r="AQ135" s="18">
        <f>IF(AO135&gt;AP135,1,0)</f>
        <v>1</v>
      </c>
      <c r="AR135" s="19">
        <v>17.54</v>
      </c>
      <c r="AS135" s="19">
        <v>18.66</v>
      </c>
      <c r="AT135" s="14">
        <f>IF(AR135&gt;=AS135,1,0)</f>
        <v>0</v>
      </c>
      <c r="AU135" s="20">
        <f>SUM(I135,N135,AB135,AD135,AK135,AN135,AQ135,AT135,F135,W135)</f>
        <v>3</v>
      </c>
    </row>
    <row r="136" spans="1:47" customFormat="1" ht="15.6" x14ac:dyDescent="0.3">
      <c r="A136" s="11">
        <v>135</v>
      </c>
      <c r="B136" s="22" t="s">
        <v>182</v>
      </c>
      <c r="C136" s="23">
        <v>145708.71</v>
      </c>
      <c r="D136" s="24">
        <v>8.3000000000000007</v>
      </c>
      <c r="E136" s="24">
        <v>20.38</v>
      </c>
      <c r="F136" s="14">
        <f>IF(OR(D136&gt;=E136,D136=0),0,1)</f>
        <v>1</v>
      </c>
      <c r="G136" s="24">
        <v>1.79</v>
      </c>
      <c r="H136" s="24">
        <v>1.04</v>
      </c>
      <c r="I136" s="14">
        <f>IF(AND(H136&lt;=1,H136&gt;0),1,0)</f>
        <v>0</v>
      </c>
      <c r="J136" s="24">
        <v>13336.55</v>
      </c>
      <c r="K136" s="24">
        <v>26858.84</v>
      </c>
      <c r="L136" s="24">
        <v>3.09</v>
      </c>
      <c r="M136" s="24">
        <v>6.03</v>
      </c>
      <c r="N136" s="14">
        <f>IF(AND(J136&gt;K136,L136&gt;=M136),1,0)</f>
        <v>0</v>
      </c>
      <c r="O136" s="15">
        <v>4391.8</v>
      </c>
      <c r="P136" s="15">
        <v>3805.9</v>
      </c>
      <c r="Q136" s="15">
        <v>2297.1999999999998</v>
      </c>
      <c r="R136" s="15">
        <v>2841.6</v>
      </c>
      <c r="S136" s="15">
        <v>4789.6000000000004</v>
      </c>
      <c r="T136" s="15">
        <v>3181.4</v>
      </c>
      <c r="U136" s="15">
        <v>8243.6</v>
      </c>
      <c r="V136" s="15">
        <v>10644.3</v>
      </c>
      <c r="W136" s="14">
        <f>IF(AND(O136&gt;S136,P136&gt;T136,Q136&gt;U136,R136&gt;V136),1,0)</f>
        <v>0</v>
      </c>
      <c r="X136" s="24">
        <v>23677.79</v>
      </c>
      <c r="Y136" s="24">
        <v>35969.629999999997</v>
      </c>
      <c r="Z136" s="24">
        <v>5.38</v>
      </c>
      <c r="AA136" s="24">
        <v>8.0299999999999994</v>
      </c>
      <c r="AB136" s="14">
        <f>IF(AND(X136&gt;Y136,Z136&gt;=AA136,X136&gt;0),1,0)</f>
        <v>0</v>
      </c>
      <c r="AC136" s="12" t="str">
        <f>IF(X136&gt;J136,"Yes","No")</f>
        <v>Yes</v>
      </c>
      <c r="AD136" s="14">
        <f>IF(X136&gt;J136,1,0)</f>
        <v>1</v>
      </c>
      <c r="AE136" s="16">
        <v>72832.2</v>
      </c>
      <c r="AF136" s="25">
        <v>90672</v>
      </c>
      <c r="AG136" s="17">
        <f>AE136/AF136</f>
        <v>0.80324907358390685</v>
      </c>
      <c r="AH136" s="16">
        <v>65694.100000000006</v>
      </c>
      <c r="AI136" s="16">
        <v>80883.399999999994</v>
      </c>
      <c r="AJ136" s="17">
        <f>AH136/AI136</f>
        <v>0.81220744924174815</v>
      </c>
      <c r="AK136" s="18">
        <f>IF(AG136&gt;=AJ136,1,0)</f>
        <v>0</v>
      </c>
      <c r="AL136" s="19">
        <v>0.33</v>
      </c>
      <c r="AM136" s="19">
        <v>0.36</v>
      </c>
      <c r="AN136" s="18">
        <f>IF(AL136&lt;=AM136,1,0)</f>
        <v>1</v>
      </c>
      <c r="AO136" s="19">
        <v>2.09</v>
      </c>
      <c r="AP136" s="19">
        <v>2.29</v>
      </c>
      <c r="AQ136" s="18">
        <f>IF(AO136&gt;AP136,1,0)</f>
        <v>0</v>
      </c>
      <c r="AR136" s="19">
        <v>5.73</v>
      </c>
      <c r="AS136" s="19">
        <v>9.7899999999999991</v>
      </c>
      <c r="AT136" s="14">
        <f>IF(AR136&gt;=AS136,1,0)</f>
        <v>0</v>
      </c>
      <c r="AU136" s="20">
        <f>SUM(I136,N136,AB136,AD136,AK136,AN136,AQ136,AT136,F136,W136)</f>
        <v>3</v>
      </c>
    </row>
    <row r="137" spans="1:47" customFormat="1" ht="15.6" x14ac:dyDescent="0.3">
      <c r="A137" s="11">
        <v>136</v>
      </c>
      <c r="B137" s="22" t="s">
        <v>183</v>
      </c>
      <c r="C137" s="23">
        <v>139311.97</v>
      </c>
      <c r="D137" s="24">
        <v>32.25</v>
      </c>
      <c r="E137" s="24">
        <v>39.53</v>
      </c>
      <c r="F137" s="14">
        <f>IF(OR(D137&gt;=E137,D137=0),0,1)</f>
        <v>1</v>
      </c>
      <c r="G137" s="24">
        <v>2.6</v>
      </c>
      <c r="H137" s="24">
        <v>2.42</v>
      </c>
      <c r="I137" s="14">
        <f>IF(AND(H137&lt;=1,H137&gt;0),1,0)</f>
        <v>0</v>
      </c>
      <c r="J137" s="24">
        <v>5158.41</v>
      </c>
      <c r="K137" s="24">
        <v>4734.63</v>
      </c>
      <c r="L137" s="24">
        <v>14.63</v>
      </c>
      <c r="M137" s="24">
        <v>13.49</v>
      </c>
      <c r="N137" s="14">
        <f>IF(AND(J137&gt;K137,L137&gt;=M137),1,0)</f>
        <v>1</v>
      </c>
      <c r="O137" s="15">
        <v>956.3</v>
      </c>
      <c r="P137" s="15">
        <v>2115.3000000000002</v>
      </c>
      <c r="Q137" s="15">
        <v>456</v>
      </c>
      <c r="R137" s="15">
        <v>646.29999999999995</v>
      </c>
      <c r="S137" s="15">
        <v>1055.2</v>
      </c>
      <c r="T137" s="15">
        <v>823.1</v>
      </c>
      <c r="U137" s="15">
        <v>793</v>
      </c>
      <c r="V137" s="15">
        <v>905.6</v>
      </c>
      <c r="W137" s="14">
        <f>IF(AND(O137&gt;S137,P137&gt;T137,Q137&gt;U137,R137&gt;V137),1,0)</f>
        <v>0</v>
      </c>
      <c r="X137" s="24">
        <v>2237.35</v>
      </c>
      <c r="Y137" s="24">
        <v>5645.82</v>
      </c>
      <c r="Z137" s="24">
        <v>6.03</v>
      </c>
      <c r="AA137" s="24">
        <v>17.03</v>
      </c>
      <c r="AB137" s="14">
        <f>IF(AND(X137&gt;Y137,Z137&gt;=AA137,X137&gt;0),1,0)</f>
        <v>0</v>
      </c>
      <c r="AC137" s="12" t="str">
        <f>IF(X137&gt;J137,"Yes","No")</f>
        <v>No</v>
      </c>
      <c r="AD137" s="14">
        <f>IF(X137&gt;J137,1,0)</f>
        <v>0</v>
      </c>
      <c r="AE137" s="16">
        <v>19717.2</v>
      </c>
      <c r="AF137" s="16">
        <v>13845.3</v>
      </c>
      <c r="AG137" s="17">
        <f>AE137/AF137</f>
        <v>1.4241078199822323</v>
      </c>
      <c r="AH137" s="16">
        <v>24852.2</v>
      </c>
      <c r="AI137" s="16">
        <v>12128.9</v>
      </c>
      <c r="AJ137" s="17">
        <f>AH137/AI137</f>
        <v>2.049006917362663</v>
      </c>
      <c r="AK137" s="18">
        <f>IF(AG137&gt;=AJ137,1,0)</f>
        <v>0</v>
      </c>
      <c r="AL137" s="19">
        <v>0</v>
      </c>
      <c r="AM137" s="19">
        <v>0</v>
      </c>
      <c r="AN137" s="18">
        <f>IF(AL137&lt;=AM137,1,0)</f>
        <v>1</v>
      </c>
      <c r="AO137" s="19">
        <v>0.48</v>
      </c>
      <c r="AP137" s="19">
        <v>0.56999999999999995</v>
      </c>
      <c r="AQ137" s="18">
        <f>IF(AO137&gt;AP137,1,0)</f>
        <v>0</v>
      </c>
      <c r="AR137" s="19">
        <v>15.84</v>
      </c>
      <c r="AS137" s="19">
        <v>18.64</v>
      </c>
      <c r="AT137" s="14">
        <f>IF(AR137&gt;=AS137,1,0)</f>
        <v>0</v>
      </c>
      <c r="AU137" s="20">
        <f>SUM(I137,N137,AB137,AD137,AK137,AN137,AQ137,AT137,F137,W137)</f>
        <v>3</v>
      </c>
    </row>
    <row r="138" spans="1:47" customFormat="1" ht="15.6" x14ac:dyDescent="0.3">
      <c r="A138" s="11">
        <v>137</v>
      </c>
      <c r="B138" s="22" t="s">
        <v>184</v>
      </c>
      <c r="C138" s="23">
        <v>127110.61</v>
      </c>
      <c r="D138" s="24">
        <v>30.84</v>
      </c>
      <c r="E138" s="24">
        <v>24.93</v>
      </c>
      <c r="F138" s="14">
        <f>IF(OR(D138&gt;=E138,D138=0),0,1)</f>
        <v>0</v>
      </c>
      <c r="G138" s="24">
        <v>3.55</v>
      </c>
      <c r="H138" s="24">
        <v>1.5</v>
      </c>
      <c r="I138" s="14">
        <f>IF(AND(H138&lt;=1,H138&gt;0),1,0)</f>
        <v>0</v>
      </c>
      <c r="J138" s="24">
        <v>4775.37</v>
      </c>
      <c r="K138" s="24">
        <v>4280.1000000000004</v>
      </c>
      <c r="L138" s="24">
        <v>6.87</v>
      </c>
      <c r="M138" s="24">
        <v>6.51</v>
      </c>
      <c r="N138" s="14">
        <f>IF(AND(J138&gt;K138,L138&gt;=M138),1,0)</f>
        <v>1</v>
      </c>
      <c r="O138" s="15">
        <v>1042.8</v>
      </c>
      <c r="P138" s="15">
        <v>1030.7</v>
      </c>
      <c r="Q138" s="15">
        <v>926.5</v>
      </c>
      <c r="R138" s="15">
        <v>970.9</v>
      </c>
      <c r="S138" s="15">
        <v>895.2</v>
      </c>
      <c r="T138" s="15">
        <v>953</v>
      </c>
      <c r="U138" s="15">
        <v>875.5</v>
      </c>
      <c r="V138" s="15">
        <v>972.5</v>
      </c>
      <c r="W138" s="14">
        <f>IF(AND(O138&gt;S138,P138&gt;T138,Q138&gt;U138,R138&gt;V138),1,0)</f>
        <v>0</v>
      </c>
      <c r="X138" s="24">
        <v>12680.19</v>
      </c>
      <c r="Y138" s="24">
        <v>12504.37</v>
      </c>
      <c r="Z138" s="24">
        <v>19.149999999999999</v>
      </c>
      <c r="AA138" s="24">
        <v>20.350000000000001</v>
      </c>
      <c r="AB138" s="14">
        <f>IF(AND(X138&gt;Y138,Z138&gt;=AA138,X138&gt;0),1,0)</f>
        <v>0</v>
      </c>
      <c r="AC138" s="12" t="str">
        <f>IF(X138&gt;J138,"Yes","No")</f>
        <v>Yes</v>
      </c>
      <c r="AD138" s="14">
        <f>IF(X138&gt;J138,1,0)</f>
        <v>1</v>
      </c>
      <c r="AE138" s="16">
        <v>37065.5</v>
      </c>
      <c r="AF138" s="16">
        <v>45521.8</v>
      </c>
      <c r="AG138" s="17">
        <f>AE138/AF138</f>
        <v>0.81423625603556971</v>
      </c>
      <c r="AH138" s="25">
        <v>36764</v>
      </c>
      <c r="AI138" s="25">
        <v>41968</v>
      </c>
      <c r="AJ138" s="17">
        <f>AH138/AI138</f>
        <v>0.87600076248570335</v>
      </c>
      <c r="AK138" s="18">
        <f>IF(AG138&gt;=AJ138,1,0)</f>
        <v>0</v>
      </c>
      <c r="AL138" s="19">
        <v>1.23</v>
      </c>
      <c r="AM138" s="19">
        <v>1.1599999999999999</v>
      </c>
      <c r="AN138" s="18">
        <f>IF(AL138&lt;=AM138,1,0)</f>
        <v>0</v>
      </c>
      <c r="AO138" s="19">
        <v>0.44</v>
      </c>
      <c r="AP138" s="19">
        <v>0.46</v>
      </c>
      <c r="AQ138" s="18">
        <f>IF(AO138&gt;AP138,1,0)</f>
        <v>0</v>
      </c>
      <c r="AR138" s="19">
        <v>20.79</v>
      </c>
      <c r="AS138" s="19">
        <v>17.04</v>
      </c>
      <c r="AT138" s="14">
        <f>IF(AR138&gt;=AS138,1,0)</f>
        <v>1</v>
      </c>
      <c r="AU138" s="20">
        <f>SUM(I138,N138,AB138,AD138,AK138,AN138,AQ138,AT138,F138,W138)</f>
        <v>3</v>
      </c>
    </row>
    <row r="139" spans="1:47" customFormat="1" ht="15.6" x14ac:dyDescent="0.3">
      <c r="A139" s="11">
        <v>138</v>
      </c>
      <c r="B139" s="22" t="s">
        <v>185</v>
      </c>
      <c r="C139" s="23">
        <v>115380.57</v>
      </c>
      <c r="D139" s="24">
        <v>87.74</v>
      </c>
      <c r="E139" s="24">
        <v>23.75</v>
      </c>
      <c r="F139" s="14">
        <f>IF(OR(D139&gt;=E139,D139=0),0,1)</f>
        <v>0</v>
      </c>
      <c r="G139" s="24">
        <v>5.77</v>
      </c>
      <c r="H139" s="24">
        <v>9.35</v>
      </c>
      <c r="I139" s="14">
        <f>IF(AND(H139&lt;=1,H139&gt;0),1,0)</f>
        <v>0</v>
      </c>
      <c r="J139" s="24">
        <v>1287.0999999999999</v>
      </c>
      <c r="K139" s="24">
        <v>1215.4000000000001</v>
      </c>
      <c r="L139" s="24">
        <v>7.22</v>
      </c>
      <c r="M139" s="24">
        <v>9.35</v>
      </c>
      <c r="N139" s="14">
        <f>IF(AND(J139&gt;K139,L139&gt;=M139),1,0)</f>
        <v>0</v>
      </c>
      <c r="O139" s="15">
        <v>344.9</v>
      </c>
      <c r="P139" s="15">
        <v>278.89999999999998</v>
      </c>
      <c r="Q139" s="15">
        <v>364.4</v>
      </c>
      <c r="R139" s="15">
        <v>290.3</v>
      </c>
      <c r="S139" s="15">
        <v>216.6</v>
      </c>
      <c r="T139" s="15">
        <v>278.89999999999998</v>
      </c>
      <c r="U139" s="15">
        <v>338.2</v>
      </c>
      <c r="V139" s="15">
        <v>316.60000000000002</v>
      </c>
      <c r="W139" s="14">
        <f>IF(AND(O139&gt;S139,P139&gt;T139,Q139&gt;U139,R139&gt;V139),1,0)</f>
        <v>0</v>
      </c>
      <c r="X139" s="24">
        <v>2056.65</v>
      </c>
      <c r="Y139" s="24">
        <v>1936.68</v>
      </c>
      <c r="Z139" s="24">
        <v>11.4</v>
      </c>
      <c r="AA139" s="24">
        <v>12.74</v>
      </c>
      <c r="AB139" s="14">
        <f>IF(AND(X139&gt;Y139,Z139&gt;=AA139,X139&gt;0),1,0)</f>
        <v>0</v>
      </c>
      <c r="AC139" s="12" t="str">
        <f>IF(X139&gt;J139,"Yes","No")</f>
        <v>Yes</v>
      </c>
      <c r="AD139" s="14">
        <f>IF(X139&gt;J139,1,0)</f>
        <v>1</v>
      </c>
      <c r="AE139" s="16">
        <v>8969.7000000000007</v>
      </c>
      <c r="AF139" s="16">
        <v>5841.1</v>
      </c>
      <c r="AG139" s="17">
        <f>AE139/AF139</f>
        <v>1.5356182910753111</v>
      </c>
      <c r="AH139" s="16">
        <v>7426.6</v>
      </c>
      <c r="AI139" s="16">
        <v>6191.1</v>
      </c>
      <c r="AJ139" s="17">
        <f>AH139/AI139</f>
        <v>1.1995606596566037</v>
      </c>
      <c r="AK139" s="18">
        <f>IF(AG139&gt;=AJ139,1,0)</f>
        <v>1</v>
      </c>
      <c r="AL139" s="19">
        <v>0.01</v>
      </c>
      <c r="AM139" s="19">
        <v>0.01</v>
      </c>
      <c r="AN139" s="18">
        <f>IF(AL139&lt;=AM139,1,0)</f>
        <v>1</v>
      </c>
      <c r="AO139" s="19">
        <v>0.59</v>
      </c>
      <c r="AP139" s="19">
        <v>0.6</v>
      </c>
      <c r="AQ139" s="18">
        <f>IF(AO139&gt;AP139,1,0)</f>
        <v>0</v>
      </c>
      <c r="AR139" s="19">
        <v>13.92</v>
      </c>
      <c r="AS139" s="19">
        <v>14.78</v>
      </c>
      <c r="AT139" s="14">
        <f>IF(AR139&gt;=AS139,1,0)</f>
        <v>0</v>
      </c>
      <c r="AU139" s="20">
        <f>SUM(I139,N139,AB139,AD139,AK139,AN139,AQ139,AT139,F139,W139)</f>
        <v>3</v>
      </c>
    </row>
    <row r="140" spans="1:47" customFormat="1" ht="15.6" x14ac:dyDescent="0.3">
      <c r="A140" s="11">
        <v>139</v>
      </c>
      <c r="B140" s="22" t="s">
        <v>186</v>
      </c>
      <c r="C140" s="23">
        <v>107762.95</v>
      </c>
      <c r="D140" s="24"/>
      <c r="E140" s="24">
        <v>38.79</v>
      </c>
      <c r="F140" s="14">
        <f>IF(OR(D140&gt;=E140,D140=0),0,1)</f>
        <v>0</v>
      </c>
      <c r="G140" s="24">
        <v>9.67</v>
      </c>
      <c r="H140" s="24"/>
      <c r="I140" s="14">
        <f>IF(AND(H140&lt;=1,H140&gt;0),1,0)</f>
        <v>0</v>
      </c>
      <c r="J140" s="24">
        <v>-3116.8</v>
      </c>
      <c r="K140" s="24">
        <v>-2350.2399999999998</v>
      </c>
      <c r="L140" s="24">
        <v>-20.41</v>
      </c>
      <c r="M140" s="24">
        <v>-20.49</v>
      </c>
      <c r="N140" s="14">
        <f>IF(AND(J140&gt;K140,L140&gt;=M140),1,0)</f>
        <v>0</v>
      </c>
      <c r="O140" s="15">
        <v>-1197</v>
      </c>
      <c r="P140" s="15">
        <v>-1081.2</v>
      </c>
      <c r="Q140" s="15">
        <v>-799.1</v>
      </c>
      <c r="R140" s="15">
        <v>-625.5</v>
      </c>
      <c r="S140" s="15">
        <v>-611</v>
      </c>
      <c r="T140" s="15">
        <v>-554.79999999999995</v>
      </c>
      <c r="U140" s="15">
        <v>-574.4</v>
      </c>
      <c r="V140" s="15">
        <v>-657</v>
      </c>
      <c r="W140" s="14">
        <f>IF(AND(O140&gt;S140,P140&gt;T140,Q140&gt;U140,R140&gt;V140),1,0)</f>
        <v>0</v>
      </c>
      <c r="X140" s="24">
        <v>-2169.4699999999998</v>
      </c>
      <c r="Y140" s="24">
        <v>-1312.74</v>
      </c>
      <c r="Z140" s="24">
        <v>-12.79</v>
      </c>
      <c r="AA140" s="24">
        <v>-11.67</v>
      </c>
      <c r="AB140" s="14">
        <f>IF(AND(X140&gt;Y140,Z140&gt;=AA140,X140&gt;0),1,0)</f>
        <v>0</v>
      </c>
      <c r="AC140" s="12" t="str">
        <f>IF(X140&gt;J140,"Yes","No")</f>
        <v>Yes</v>
      </c>
      <c r="AD140" s="14">
        <f>IF(X140&gt;J140,1,0)</f>
        <v>1</v>
      </c>
      <c r="AE140" s="16">
        <v>9105.6</v>
      </c>
      <c r="AF140" s="16">
        <v>3587.6</v>
      </c>
      <c r="AG140" s="17">
        <f>AE140/AF140</f>
        <v>2.5380755937116737</v>
      </c>
      <c r="AH140" s="16">
        <v>6736.6</v>
      </c>
      <c r="AI140" s="16">
        <v>2106.8000000000002</v>
      </c>
      <c r="AJ140" s="17">
        <f>AH140/AI140</f>
        <v>3.1975507879248148</v>
      </c>
      <c r="AK140" s="18">
        <f>IF(AG140&gt;=AJ140,1,0)</f>
        <v>0</v>
      </c>
      <c r="AL140" s="19">
        <v>0</v>
      </c>
      <c r="AM140" s="19">
        <v>-0.01</v>
      </c>
      <c r="AN140" s="18">
        <f>IF(AL140&lt;=AM140,1,0)</f>
        <v>0</v>
      </c>
      <c r="AO140" s="19">
        <v>1.18</v>
      </c>
      <c r="AP140" s="19">
        <v>1.03</v>
      </c>
      <c r="AQ140" s="18">
        <f>IF(AO140&gt;AP140,1,0)</f>
        <v>1</v>
      </c>
      <c r="AR140" s="19">
        <v>-17.829999999999998</v>
      </c>
      <c r="AS140" s="19">
        <v>-18.98</v>
      </c>
      <c r="AT140" s="14">
        <f>IF(AR140&gt;=AS140,1,0)</f>
        <v>1</v>
      </c>
      <c r="AU140" s="20">
        <f>SUM(I140,N140,AB140,AD140,AK140,AN140,AQ140,AT140,F140,W140)</f>
        <v>3</v>
      </c>
    </row>
    <row r="141" spans="1:47" customFormat="1" ht="15.6" x14ac:dyDescent="0.3">
      <c r="A141" s="11">
        <v>140</v>
      </c>
      <c r="B141" s="22" t="s">
        <v>187</v>
      </c>
      <c r="C141" s="23">
        <v>104819.14</v>
      </c>
      <c r="D141" s="24">
        <v>18.45</v>
      </c>
      <c r="E141" s="24">
        <v>32.840000000000003</v>
      </c>
      <c r="F141" s="14">
        <f>IF(OR(D141&gt;=E141,D141=0),0,1)</f>
        <v>1</v>
      </c>
      <c r="G141" s="24">
        <v>3.12</v>
      </c>
      <c r="H141" s="24">
        <v>0.49</v>
      </c>
      <c r="I141" s="14">
        <f>IF(AND(H141&lt;=1,H141&gt;0),1,0)</f>
        <v>1</v>
      </c>
      <c r="J141" s="24">
        <v>5725.2</v>
      </c>
      <c r="K141" s="24">
        <v>5577.9</v>
      </c>
      <c r="L141" s="24">
        <v>17.21</v>
      </c>
      <c r="M141" s="24">
        <v>19.68</v>
      </c>
      <c r="N141" s="14">
        <f>IF(AND(J141&gt;K141,L141&gt;=M141),1,0)</f>
        <v>0</v>
      </c>
      <c r="O141" s="15">
        <v>1418.1</v>
      </c>
      <c r="P141" s="15">
        <v>1593.3</v>
      </c>
      <c r="Q141" s="15">
        <v>1413.7</v>
      </c>
      <c r="R141" s="15">
        <v>1255.7</v>
      </c>
      <c r="S141" s="15">
        <v>1392.4</v>
      </c>
      <c r="T141" s="15">
        <v>1309.8</v>
      </c>
      <c r="U141" s="15">
        <v>1380.9</v>
      </c>
      <c r="V141" s="15">
        <v>1482.2</v>
      </c>
      <c r="W141" s="14">
        <f>IF(AND(O141&gt;S141,P141&gt;T141,Q141&gt;U141,R141&gt;V141),1,0)</f>
        <v>0</v>
      </c>
      <c r="X141" s="24">
        <v>4642.8</v>
      </c>
      <c r="Y141" s="24">
        <v>4543.3</v>
      </c>
      <c r="Z141" s="24">
        <v>13.85</v>
      </c>
      <c r="AA141" s="24">
        <v>16.22</v>
      </c>
      <c r="AB141" s="14">
        <f>IF(AND(X141&gt;Y141,Z141&gt;=AA141,X141&gt;0),1,0)</f>
        <v>0</v>
      </c>
      <c r="AC141" s="12" t="str">
        <f>IF(X141&gt;J141,"Yes","No")</f>
        <v>No</v>
      </c>
      <c r="AD141" s="14">
        <f>IF(X141&gt;J141,1,0)</f>
        <v>0</v>
      </c>
      <c r="AE141" s="16">
        <v>25018.1</v>
      </c>
      <c r="AF141" s="16">
        <v>13033.8</v>
      </c>
      <c r="AG141" s="17">
        <f>AE141/AF141</f>
        <v>1.9194785864444752</v>
      </c>
      <c r="AH141" s="16">
        <v>24805.3</v>
      </c>
      <c r="AI141" s="25">
        <v>9588</v>
      </c>
      <c r="AJ141" s="17">
        <f>AH141/AI141</f>
        <v>2.5871193158114307</v>
      </c>
      <c r="AK141" s="18">
        <f>IF(AG141&gt;=AJ141,1,0)</f>
        <v>0</v>
      </c>
      <c r="AL141" s="19">
        <v>0.01</v>
      </c>
      <c r="AM141" s="19">
        <v>0.01</v>
      </c>
      <c r="AN141" s="18">
        <f>IF(AL141&lt;=AM141,1,0)</f>
        <v>1</v>
      </c>
      <c r="AO141" s="19">
        <v>0.74</v>
      </c>
      <c r="AP141" s="19">
        <v>0.79</v>
      </c>
      <c r="AQ141" s="18">
        <f>IF(AO141&gt;AP141,1,0)</f>
        <v>0</v>
      </c>
      <c r="AR141" s="19">
        <v>25.33</v>
      </c>
      <c r="AS141" s="19">
        <v>27.45</v>
      </c>
      <c r="AT141" s="14">
        <f>IF(AR141&gt;=AS141,1,0)</f>
        <v>0</v>
      </c>
      <c r="AU141" s="20">
        <f>SUM(I141,N141,AB141,AD141,AK141,AN141,AQ141,AT141,F141,W141)</f>
        <v>3</v>
      </c>
    </row>
    <row r="142" spans="1:47" customFormat="1" ht="15.6" x14ac:dyDescent="0.3">
      <c r="A142" s="11">
        <v>141</v>
      </c>
      <c r="B142" s="22" t="s">
        <v>188</v>
      </c>
      <c r="C142" s="23">
        <v>95454.12</v>
      </c>
      <c r="D142" s="24">
        <v>9.35</v>
      </c>
      <c r="E142" s="24">
        <v>20.38</v>
      </c>
      <c r="F142" s="14">
        <f>IF(OR(D142&gt;=E142,D142=0),0,1)</f>
        <v>1</v>
      </c>
      <c r="G142" s="24">
        <v>1.87</v>
      </c>
      <c r="H142" s="24">
        <v>-4.5199999999999996</v>
      </c>
      <c r="I142" s="14">
        <f>IF(AND(H142&lt;=1,H142&gt;0),1,0)</f>
        <v>0</v>
      </c>
      <c r="J142" s="24">
        <v>6735.7</v>
      </c>
      <c r="K142" s="24">
        <v>16014.61</v>
      </c>
      <c r="L142" s="24">
        <v>1.55</v>
      </c>
      <c r="M142" s="24">
        <v>3.68</v>
      </c>
      <c r="N142" s="14">
        <f>IF(AND(J142&gt;K142,L142&gt;=M142),1,0)</f>
        <v>0</v>
      </c>
      <c r="O142" s="15">
        <v>4110.8999999999996</v>
      </c>
      <c r="P142" s="15">
        <v>3415.4</v>
      </c>
      <c r="Q142" s="15">
        <v>2543.6999999999998</v>
      </c>
      <c r="R142" s="15">
        <v>142.69999999999999</v>
      </c>
      <c r="S142" s="15">
        <v>633.9</v>
      </c>
      <c r="T142" s="15">
        <v>2709.3</v>
      </c>
      <c r="U142" s="15">
        <v>712.8</v>
      </c>
      <c r="V142" s="15">
        <v>5827</v>
      </c>
      <c r="W142" s="14">
        <f>IF(AND(O142&gt;S142,P142&gt;T142,Q142&gt;U142,R142&gt;V142),1,0)</f>
        <v>0</v>
      </c>
      <c r="X142" s="24">
        <v>14227.74</v>
      </c>
      <c r="Y142" s="24">
        <v>23851.87</v>
      </c>
      <c r="Z142" s="24">
        <v>3.3</v>
      </c>
      <c r="AA142" s="24">
        <v>5.5</v>
      </c>
      <c r="AB142" s="14">
        <f>IF(AND(X142&gt;Y142,Z142&gt;=AA142,X142&gt;0),1,0)</f>
        <v>0</v>
      </c>
      <c r="AC142" s="12" t="str">
        <f>IF(X142&gt;J142,"Yes","No")</f>
        <v>Yes</v>
      </c>
      <c r="AD142" s="14">
        <f>IF(X142&gt;J142,1,0)</f>
        <v>1</v>
      </c>
      <c r="AE142" s="26">
        <v>57704.800000000003</v>
      </c>
      <c r="AF142" s="26">
        <v>96277.7</v>
      </c>
      <c r="AG142" s="17">
        <f>AE142/AF142</f>
        <v>0.59935789907735648</v>
      </c>
      <c r="AH142" s="26">
        <v>52851.6</v>
      </c>
      <c r="AI142" s="26">
        <v>86433.8</v>
      </c>
      <c r="AJ142" s="17">
        <f>AH142/AI142</f>
        <v>0.61146912434718825</v>
      </c>
      <c r="AK142" s="18">
        <f>IF(AG142&gt;=AJ142,1,0)</f>
        <v>0</v>
      </c>
      <c r="AL142" s="28">
        <v>0.68</v>
      </c>
      <c r="AM142" s="28">
        <v>0.81</v>
      </c>
      <c r="AN142" s="18">
        <f>IF(AL142&lt;=AM142,1,0)</f>
        <v>1</v>
      </c>
      <c r="AO142" s="28">
        <v>2.2999999999999998</v>
      </c>
      <c r="AP142" s="28">
        <v>2.52</v>
      </c>
      <c r="AQ142" s="18">
        <f>IF(AO142&gt;AP142,1,0)</f>
        <v>0</v>
      </c>
      <c r="AR142" s="28">
        <v>3.79</v>
      </c>
      <c r="AS142" s="28">
        <v>5.72</v>
      </c>
      <c r="AT142" s="14">
        <f>IF(AR142&gt;=AS142,1,0)</f>
        <v>0</v>
      </c>
      <c r="AU142" s="20">
        <f>SUM(I142,N142,AB142,AD142,AK142,AN142,AQ142,AT142,F142,W142)</f>
        <v>3</v>
      </c>
    </row>
    <row r="143" spans="1:47" customFormat="1" ht="15.6" x14ac:dyDescent="0.3">
      <c r="A143" s="11">
        <v>142</v>
      </c>
      <c r="B143" s="22" t="s">
        <v>189</v>
      </c>
      <c r="C143" s="23">
        <v>95189.17</v>
      </c>
      <c r="D143" s="24"/>
      <c r="E143" s="24">
        <v>10.01</v>
      </c>
      <c r="F143" s="14">
        <f>IF(OR(D143&gt;=E143,D143=0),0,1)</f>
        <v>0</v>
      </c>
      <c r="G143" s="24"/>
      <c r="H143" s="24"/>
      <c r="I143" s="14">
        <f>IF(AND(H143&lt;=1,H143&gt;0),1,0)</f>
        <v>0</v>
      </c>
      <c r="J143" s="24">
        <v>-816.9</v>
      </c>
      <c r="K143" s="24">
        <v>-827.5</v>
      </c>
      <c r="L143" s="24">
        <v>-13.59</v>
      </c>
      <c r="M143" s="24">
        <v>-10.7</v>
      </c>
      <c r="N143" s="14">
        <f>IF(AND(J143&gt;K143,L143&gt;=M143),1,0)</f>
        <v>0</v>
      </c>
      <c r="O143" s="15">
        <v>-237.6</v>
      </c>
      <c r="P143" s="15">
        <v>266.8</v>
      </c>
      <c r="Q143" s="15">
        <v>-280.39999999999998</v>
      </c>
      <c r="R143" s="15">
        <v>-141.6</v>
      </c>
      <c r="S143" s="15">
        <v>-121</v>
      </c>
      <c r="T143" s="15">
        <v>-317.5</v>
      </c>
      <c r="U143" s="15">
        <v>-91</v>
      </c>
      <c r="V143" s="15">
        <v>-29.8</v>
      </c>
      <c r="W143" s="14">
        <f>IF(AND(O143&gt;S143,P143&gt;T143,Q143&gt;U143,R143&gt;V143),1,0)</f>
        <v>0</v>
      </c>
      <c r="X143" s="24">
        <v>3442.56</v>
      </c>
      <c r="Y143" s="24">
        <v>3880.1</v>
      </c>
      <c r="Z143" s="24">
        <v>30.69</v>
      </c>
      <c r="AA143" s="24">
        <v>44.32</v>
      </c>
      <c r="AB143" s="14">
        <f>IF(AND(X143&gt;Y143,Z143&gt;=AA143,X143&gt;0),1,0)</f>
        <v>0</v>
      </c>
      <c r="AC143" s="12" t="str">
        <f>IF(X143&gt;J143,"Yes","No")</f>
        <v>Yes</v>
      </c>
      <c r="AD143" s="14">
        <f>IF(X143&gt;J143,1,0)</f>
        <v>1</v>
      </c>
      <c r="AE143" s="26">
        <v>5848.4</v>
      </c>
      <c r="AF143" s="26">
        <v>8859.7999999999993</v>
      </c>
      <c r="AG143" s="17">
        <f>AE143/AF143</f>
        <v>0.66010519424817715</v>
      </c>
      <c r="AH143" s="26">
        <v>8041.8</v>
      </c>
      <c r="AI143" s="26">
        <v>7561.9</v>
      </c>
      <c r="AJ143" s="17">
        <f>AH143/AI143</f>
        <v>1.0634628863116413</v>
      </c>
      <c r="AK143" s="18">
        <f>IF(AG143&gt;=AJ143,1,0)</f>
        <v>0</v>
      </c>
      <c r="AL143" s="28">
        <v>-13.47</v>
      </c>
      <c r="AM143" s="28">
        <v>-15.86</v>
      </c>
      <c r="AN143" s="18">
        <f>IF(AL143&lt;=AM143,1,0)</f>
        <v>0</v>
      </c>
      <c r="AO143" s="28">
        <v>0.21</v>
      </c>
      <c r="AP143" s="28">
        <v>0.19</v>
      </c>
      <c r="AQ143" s="18">
        <f>IF(AO143&gt;AP143,1,0)</f>
        <v>1</v>
      </c>
      <c r="AR143" s="28">
        <v>34.75</v>
      </c>
      <c r="AS143" s="28">
        <v>32.21</v>
      </c>
      <c r="AT143" s="14">
        <f>IF(AR143&gt;=AS143,1,0)</f>
        <v>1</v>
      </c>
      <c r="AU143" s="20">
        <f>SUM(I143,N143,AB143,AD143,AK143,AN143,AQ143,AT143,F143,W143)</f>
        <v>3</v>
      </c>
    </row>
    <row r="144" spans="1:47" customFormat="1" ht="15.6" x14ac:dyDescent="0.3">
      <c r="A144" s="11">
        <v>143</v>
      </c>
      <c r="B144" s="22" t="s">
        <v>190</v>
      </c>
      <c r="C144" s="23">
        <v>73491.19</v>
      </c>
      <c r="D144" s="24">
        <v>139.35</v>
      </c>
      <c r="E144" s="24">
        <v>41.66</v>
      </c>
      <c r="F144" s="14">
        <f>IF(OR(D144&gt;=E144,D144=0),0,1)</f>
        <v>0</v>
      </c>
      <c r="G144" s="24">
        <v>4.7699999999999996</v>
      </c>
      <c r="H144" s="24">
        <v>-32.56</v>
      </c>
      <c r="I144" s="14">
        <f>IF(AND(H144&lt;=1,H144&gt;0),1,0)</f>
        <v>0</v>
      </c>
      <c r="J144" s="24">
        <v>616.9</v>
      </c>
      <c r="K144" s="24">
        <v>1628.7</v>
      </c>
      <c r="L144" s="24">
        <v>8.34</v>
      </c>
      <c r="M144" s="24">
        <v>12.33</v>
      </c>
      <c r="N144" s="14">
        <f>IF(AND(J144&gt;K144,L144&gt;=M144),1,0)</f>
        <v>0</v>
      </c>
      <c r="O144" s="15">
        <v>25</v>
      </c>
      <c r="P144" s="15">
        <v>17.7</v>
      </c>
      <c r="Q144" s="15">
        <v>192.2</v>
      </c>
      <c r="R144" s="15">
        <v>232.6</v>
      </c>
      <c r="S144" s="15">
        <v>140</v>
      </c>
      <c r="T144" s="15">
        <v>116.3</v>
      </c>
      <c r="U144" s="15">
        <v>850.9</v>
      </c>
      <c r="V144" s="15">
        <v>266.89999999999998</v>
      </c>
      <c r="W144" s="14">
        <f>IF(AND(O144&gt;S144,P144&gt;T144,Q144&gt;U144,R144&gt;V144),1,0)</f>
        <v>0</v>
      </c>
      <c r="X144" s="24">
        <v>130.69999999999999</v>
      </c>
      <c r="Y144" s="24">
        <v>1297.3</v>
      </c>
      <c r="Z144" s="24">
        <v>1.68</v>
      </c>
      <c r="AA144" s="24">
        <v>16.47</v>
      </c>
      <c r="AB144" s="14">
        <f>IF(AND(X144&gt;Y144,Z144&gt;=AA144,X144&gt;0),1,0)</f>
        <v>0</v>
      </c>
      <c r="AC144" s="12" t="str">
        <f>IF(X144&gt;J144,"Yes","No")</f>
        <v>No</v>
      </c>
      <c r="AD144" s="14">
        <f>IF(X144&gt;J144,1,0)</f>
        <v>0</v>
      </c>
      <c r="AE144" s="27">
        <v>44230</v>
      </c>
      <c r="AF144" s="26">
        <v>35470.400000000001</v>
      </c>
      <c r="AG144" s="17">
        <f>AE144/AF144</f>
        <v>1.2469552077224952</v>
      </c>
      <c r="AH144" s="26">
        <v>35341.1</v>
      </c>
      <c r="AI144" s="26">
        <v>29698.2</v>
      </c>
      <c r="AJ144" s="17">
        <f>AH144/AI144</f>
        <v>1.1900081486420051</v>
      </c>
      <c r="AK144" s="18">
        <f>IF(AG144&gt;=AJ144,1,0)</f>
        <v>1</v>
      </c>
      <c r="AL144" s="28">
        <v>0.28000000000000003</v>
      </c>
      <c r="AM144" s="28">
        <v>0.4</v>
      </c>
      <c r="AN144" s="18">
        <f>IF(AL144&lt;=AM144,1,0)</f>
        <v>1</v>
      </c>
      <c r="AO144" s="28">
        <v>0.14000000000000001</v>
      </c>
      <c r="AP144" s="28">
        <v>0.19</v>
      </c>
      <c r="AQ144" s="18">
        <f>IF(AO144&gt;AP144,1,0)</f>
        <v>0</v>
      </c>
      <c r="AR144" s="28">
        <v>33.08</v>
      </c>
      <c r="AS144" s="28">
        <v>26.51</v>
      </c>
      <c r="AT144" s="14">
        <f>IF(AR144&gt;=AS144,1,0)</f>
        <v>1</v>
      </c>
      <c r="AU144" s="20">
        <f>SUM(I144,N144,AB144,AD144,AK144,AN144,AQ144,AT144,F144,W144)</f>
        <v>3</v>
      </c>
    </row>
    <row r="145" spans="1:47" customFormat="1" ht="15.6" x14ac:dyDescent="0.3">
      <c r="A145" s="11">
        <v>144</v>
      </c>
      <c r="B145" s="22" t="s">
        <v>191</v>
      </c>
      <c r="C145" s="23">
        <v>70123.25</v>
      </c>
      <c r="D145" s="24">
        <v>68.17</v>
      </c>
      <c r="E145" s="24">
        <v>29.34</v>
      </c>
      <c r="F145" s="14">
        <f>IF(OR(D145&gt;=E145,D145=0),0,1)</f>
        <v>0</v>
      </c>
      <c r="G145" s="24">
        <v>12.21</v>
      </c>
      <c r="H145" s="24">
        <v>1.73</v>
      </c>
      <c r="I145" s="14">
        <f>IF(AND(H145&lt;=1,H145&gt;0),1,0)</f>
        <v>0</v>
      </c>
      <c r="J145" s="24">
        <v>1020.57</v>
      </c>
      <c r="K145" s="24">
        <v>924.71</v>
      </c>
      <c r="L145" s="24">
        <v>6.03</v>
      </c>
      <c r="M145" s="24">
        <v>6.44</v>
      </c>
      <c r="N145" s="14">
        <f>IF(AND(J145&gt;K145,L145&gt;=M145),1,0)</f>
        <v>0</v>
      </c>
      <c r="O145" s="15">
        <v>266.2</v>
      </c>
      <c r="P145" s="15">
        <v>232.6</v>
      </c>
      <c r="Q145" s="15">
        <v>245.2</v>
      </c>
      <c r="R145" s="15">
        <v>199</v>
      </c>
      <c r="S145" s="15">
        <v>289.10000000000002</v>
      </c>
      <c r="T145" s="15">
        <v>193.5</v>
      </c>
      <c r="U145" s="15">
        <v>225</v>
      </c>
      <c r="V145" s="15">
        <v>172.8</v>
      </c>
      <c r="W145" s="14">
        <f>IF(AND(O145&gt;S145,P145&gt;T145,Q145&gt;U145,R145&gt;V145),1,0)</f>
        <v>0</v>
      </c>
      <c r="X145" s="24">
        <v>1071.47</v>
      </c>
      <c r="Y145" s="24">
        <v>979.34</v>
      </c>
      <c r="Z145" s="24">
        <v>6.14</v>
      </c>
      <c r="AA145" s="24">
        <v>6.98</v>
      </c>
      <c r="AB145" s="14">
        <f>IF(AND(X145&gt;Y145,Z145&gt;=AA145,X145&gt;0),1,0)</f>
        <v>0</v>
      </c>
      <c r="AC145" s="12" t="str">
        <f>IF(X145&gt;J145,"Yes","No")</f>
        <v>Yes</v>
      </c>
      <c r="AD145" s="14">
        <f>IF(X145&gt;J145,1,0)</f>
        <v>1</v>
      </c>
      <c r="AE145" s="26">
        <v>5106.5</v>
      </c>
      <c r="AF145" s="26">
        <v>4059.8</v>
      </c>
      <c r="AG145" s="17">
        <f>AE145/AF145</f>
        <v>1.2578205822946942</v>
      </c>
      <c r="AH145" s="26">
        <v>4510.1000000000004</v>
      </c>
      <c r="AI145" s="26">
        <v>3673.1</v>
      </c>
      <c r="AJ145" s="17">
        <f>AH145/AI145</f>
        <v>1.2278729138874522</v>
      </c>
      <c r="AK145" s="18">
        <f>IF(AG145&gt;=AJ145,1,0)</f>
        <v>1</v>
      </c>
      <c r="AL145" s="28">
        <v>0.22</v>
      </c>
      <c r="AM145" s="28">
        <v>0.14000000000000001</v>
      </c>
      <c r="AN145" s="18">
        <f>IF(AL145&lt;=AM145,1,0)</f>
        <v>0</v>
      </c>
      <c r="AO145" s="28">
        <v>1.55</v>
      </c>
      <c r="AP145" s="28">
        <v>1.54</v>
      </c>
      <c r="AQ145" s="18">
        <f>IF(AO145&gt;AP145,1,0)</f>
        <v>1</v>
      </c>
      <c r="AR145" s="28">
        <v>11.15</v>
      </c>
      <c r="AS145" s="28">
        <v>11.27</v>
      </c>
      <c r="AT145" s="14">
        <f>IF(AR145&gt;=AS145,1,0)</f>
        <v>0</v>
      </c>
      <c r="AU145" s="20">
        <f>SUM(I145,N145,AB145,AD145,AK145,AN145,AQ145,AT145,F145,W145)</f>
        <v>3</v>
      </c>
    </row>
    <row r="146" spans="1:47" customFormat="1" ht="15.6" x14ac:dyDescent="0.3">
      <c r="A146" s="11">
        <v>145</v>
      </c>
      <c r="B146" s="22" t="s">
        <v>192</v>
      </c>
      <c r="C146" s="23">
        <v>65859.509999999995</v>
      </c>
      <c r="D146" s="24">
        <v>10.07</v>
      </c>
      <c r="E146" s="24">
        <v>22.56</v>
      </c>
      <c r="F146" s="14">
        <f>IF(OR(D146&gt;=E146,D146=0),0,1)</f>
        <v>1</v>
      </c>
      <c r="G146" s="24">
        <v>2.2200000000000002</v>
      </c>
      <c r="H146" s="24">
        <v>-0.88</v>
      </c>
      <c r="I146" s="14">
        <f>IF(AND(H146&lt;=1,H146&gt;0),1,0)</f>
        <v>0</v>
      </c>
      <c r="J146" s="24">
        <v>6520.08</v>
      </c>
      <c r="K146" s="24">
        <v>5566.68</v>
      </c>
      <c r="L146" s="24">
        <v>27.28</v>
      </c>
      <c r="M146" s="24">
        <v>27.09</v>
      </c>
      <c r="N146" s="14">
        <f>IF(AND(J146&gt;K146,L146&gt;=M146),1,0)</f>
        <v>1</v>
      </c>
      <c r="O146" s="15">
        <v>1967.7</v>
      </c>
      <c r="P146" s="15">
        <v>1477.7</v>
      </c>
      <c r="Q146" s="15">
        <v>1882</v>
      </c>
      <c r="R146" s="15">
        <v>1211.5999999999999</v>
      </c>
      <c r="S146" s="15">
        <v>1970.8</v>
      </c>
      <c r="T146" s="15">
        <v>1412.7</v>
      </c>
      <c r="U146" s="15">
        <v>1483.9</v>
      </c>
      <c r="V146" s="15">
        <v>1026.2</v>
      </c>
      <c r="W146" s="14">
        <f>IF(AND(O146&gt;S146,P146&gt;T146,Q146&gt;U146,R146&gt;V146),1,0)</f>
        <v>0</v>
      </c>
      <c r="X146" s="24">
        <v>1894.28</v>
      </c>
      <c r="Y146" s="24">
        <v>7393.94</v>
      </c>
      <c r="Z146" s="24">
        <v>7.51</v>
      </c>
      <c r="AA146" s="24">
        <v>34.700000000000003</v>
      </c>
      <c r="AB146" s="14">
        <f>IF(AND(X146&gt;Y146,Z146&gt;=AA146,X146&gt;0),1,0)</f>
        <v>0</v>
      </c>
      <c r="AC146" s="12" t="str">
        <f>IF(X146&gt;J146,"Yes","No")</f>
        <v>No</v>
      </c>
      <c r="AD146" s="14">
        <f>IF(X146&gt;J146,1,0)</f>
        <v>0</v>
      </c>
      <c r="AE146" s="26">
        <v>23376.7</v>
      </c>
      <c r="AF146" s="26">
        <v>9668.4</v>
      </c>
      <c r="AG146" s="17">
        <f>AE146/AF146</f>
        <v>2.4178457655868604</v>
      </c>
      <c r="AH146" s="26">
        <v>21548.5</v>
      </c>
      <c r="AI146" s="26">
        <v>8404.7999999999993</v>
      </c>
      <c r="AJ146" s="17">
        <f>AH146/AI146</f>
        <v>2.563832571863697</v>
      </c>
      <c r="AK146" s="18">
        <f>IF(AG146&gt;=AJ146,1,0)</f>
        <v>0</v>
      </c>
      <c r="AL146" s="28">
        <v>0</v>
      </c>
      <c r="AM146" s="28">
        <v>0</v>
      </c>
      <c r="AN146" s="18">
        <f>IF(AL146&lt;=AM146,1,0)</f>
        <v>1</v>
      </c>
      <c r="AO146" s="28">
        <v>0.62</v>
      </c>
      <c r="AP146" s="28">
        <v>0.67</v>
      </c>
      <c r="AQ146" s="18">
        <f>IF(AO146&gt;AP146,1,0)</f>
        <v>0</v>
      </c>
      <c r="AR146" s="28">
        <v>31.96</v>
      </c>
      <c r="AS146" s="28">
        <v>32.159999999999997</v>
      </c>
      <c r="AT146" s="14">
        <f>IF(AR146&gt;=AS146,1,0)</f>
        <v>0</v>
      </c>
      <c r="AU146" s="20">
        <f>SUM(I146,N146,AB146,AD146,AK146,AN146,AQ146,AT146,F146,W146)</f>
        <v>3</v>
      </c>
    </row>
    <row r="147" spans="1:47" customFormat="1" ht="15.6" x14ac:dyDescent="0.3">
      <c r="A147" s="11">
        <v>146</v>
      </c>
      <c r="B147" s="22" t="s">
        <v>193</v>
      </c>
      <c r="C147" s="23">
        <v>63529.61</v>
      </c>
      <c r="D147" s="24">
        <v>54.35</v>
      </c>
      <c r="E147" s="24">
        <v>42.65</v>
      </c>
      <c r="F147" s="14">
        <f>IF(OR(D147&gt;=E147,D147=0),0,1)</f>
        <v>0</v>
      </c>
      <c r="G147" s="24">
        <v>10.32</v>
      </c>
      <c r="H147" s="24">
        <v>4.38</v>
      </c>
      <c r="I147" s="14">
        <f>IF(AND(H147&lt;=1,H147&gt;0),1,0)</f>
        <v>0</v>
      </c>
      <c r="J147" s="24">
        <v>1182.81</v>
      </c>
      <c r="K147" s="24">
        <v>1169.82</v>
      </c>
      <c r="L147" s="24">
        <v>10.14</v>
      </c>
      <c r="M147" s="24">
        <v>10.4</v>
      </c>
      <c r="N147" s="14">
        <f>IF(AND(J147&gt;K147,L147&gt;=M147),1,0)</f>
        <v>0</v>
      </c>
      <c r="O147" s="15">
        <v>262.10000000000002</v>
      </c>
      <c r="P147" s="15">
        <v>295.10000000000002</v>
      </c>
      <c r="Q147" s="15">
        <v>269.89999999999998</v>
      </c>
      <c r="R147" s="15">
        <v>353.6</v>
      </c>
      <c r="S147" s="15">
        <v>222.1</v>
      </c>
      <c r="T147" s="15">
        <v>299.7</v>
      </c>
      <c r="U147" s="15">
        <v>291.60000000000002</v>
      </c>
      <c r="V147" s="15">
        <v>354.4</v>
      </c>
      <c r="W147" s="14">
        <f>IF(AND(O147&gt;S147,P147&gt;T147,Q147&gt;U147,R147&gt;V147),1,0)</f>
        <v>0</v>
      </c>
      <c r="X147" s="24">
        <v>1269.05</v>
      </c>
      <c r="Y147" s="24">
        <v>1591.05</v>
      </c>
      <c r="Z147" s="24">
        <v>10.89</v>
      </c>
      <c r="AA147" s="24">
        <v>14.21</v>
      </c>
      <c r="AB147" s="14">
        <f>IF(AND(X147&gt;Y147,Z147&gt;=AA147,X147&gt;0),1,0)</f>
        <v>0</v>
      </c>
      <c r="AC147" s="12" t="str">
        <f>IF(X147&gt;J147,"Yes","No")</f>
        <v>Yes</v>
      </c>
      <c r="AD147" s="14">
        <f>IF(X147&gt;J147,1,0)</f>
        <v>1</v>
      </c>
      <c r="AE147" s="26">
        <v>4890.3</v>
      </c>
      <c r="AF147" s="26">
        <v>2379.6999999999998</v>
      </c>
      <c r="AG147" s="17">
        <f>AE147/AF147</f>
        <v>2.0550069336470984</v>
      </c>
      <c r="AH147" s="27">
        <v>4318</v>
      </c>
      <c r="AI147" s="26">
        <v>2362.5</v>
      </c>
      <c r="AJ147" s="17">
        <f>AH147/AI147</f>
        <v>1.8277248677248676</v>
      </c>
      <c r="AK147" s="18">
        <f>IF(AG147&gt;=AJ147,1,0)</f>
        <v>1</v>
      </c>
      <c r="AL147" s="28">
        <v>0</v>
      </c>
      <c r="AM147" s="28">
        <v>0</v>
      </c>
      <c r="AN147" s="18">
        <f>IF(AL147&lt;=AM147,1,0)</f>
        <v>1</v>
      </c>
      <c r="AO147" s="28">
        <v>1.32</v>
      </c>
      <c r="AP147" s="28">
        <v>1.37</v>
      </c>
      <c r="AQ147" s="18">
        <f>IF(AO147&gt;AP147,1,0)</f>
        <v>0</v>
      </c>
      <c r="AR147" s="28">
        <v>15.95</v>
      </c>
      <c r="AS147" s="28">
        <v>16.53</v>
      </c>
      <c r="AT147" s="14">
        <f>IF(AR147&gt;=AS147,1,0)</f>
        <v>0</v>
      </c>
      <c r="AU147" s="20">
        <f>SUM(I147,N147,AB147,AD147,AK147,AN147,AQ147,AT147,F147,W147)</f>
        <v>3</v>
      </c>
    </row>
    <row r="148" spans="1:47" customFormat="1" ht="15.6" x14ac:dyDescent="0.3">
      <c r="A148" s="11">
        <v>147</v>
      </c>
      <c r="B148" s="22" t="s">
        <v>194</v>
      </c>
      <c r="C148" s="23">
        <v>60354.43</v>
      </c>
      <c r="D148" s="24">
        <v>61.34</v>
      </c>
      <c r="E148" s="24">
        <v>41.66</v>
      </c>
      <c r="F148" s="14">
        <f>IF(OR(D148&gt;=E148,D148=0),0,1)</f>
        <v>0</v>
      </c>
      <c r="G148" s="24">
        <v>5.78</v>
      </c>
      <c r="H148" s="24">
        <v>1.06</v>
      </c>
      <c r="I148" s="14">
        <f>IF(AND(H148&lt;=1,H148&gt;0),1,0)</f>
        <v>0</v>
      </c>
      <c r="J148" s="24">
        <v>1307.3399999999999</v>
      </c>
      <c r="K148" s="24">
        <v>1332.75</v>
      </c>
      <c r="L148" s="24">
        <v>32.520000000000003</v>
      </c>
      <c r="M148" s="24">
        <v>33.03</v>
      </c>
      <c r="N148" s="14">
        <f>IF(AND(J148&gt;K148,L148&gt;=M148),1,0)</f>
        <v>0</v>
      </c>
      <c r="O148" s="15">
        <v>268.8</v>
      </c>
      <c r="P148" s="15">
        <v>264.8</v>
      </c>
      <c r="Q148" s="15">
        <v>218.1</v>
      </c>
      <c r="R148" s="15">
        <v>232.5</v>
      </c>
      <c r="S148" s="15">
        <v>326.7</v>
      </c>
      <c r="T148" s="15">
        <v>279.39999999999998</v>
      </c>
      <c r="U148" s="15">
        <v>252.6</v>
      </c>
      <c r="V148" s="15">
        <v>240.5</v>
      </c>
      <c r="W148" s="14">
        <f>IF(AND(O148&gt;S148,P148&gt;T148,Q148&gt;U148,R148&gt;V148),1,0)</f>
        <v>0</v>
      </c>
      <c r="X148" s="24">
        <v>2083.56</v>
      </c>
      <c r="Y148" s="24">
        <v>2160.94</v>
      </c>
      <c r="Z148" s="24">
        <v>53.94</v>
      </c>
      <c r="AA148" s="24">
        <v>54.4</v>
      </c>
      <c r="AB148" s="14">
        <f>IF(AND(X148&gt;Y148,Z148&gt;=AA148,X148&gt;0),1,0)</f>
        <v>0</v>
      </c>
      <c r="AC148" s="12" t="str">
        <f>IF(X148&gt;J148,"Yes","No")</f>
        <v>Yes</v>
      </c>
      <c r="AD148" s="14">
        <f>IF(X148&gt;J148,1,0)</f>
        <v>1</v>
      </c>
      <c r="AE148" s="26">
        <v>2696.5</v>
      </c>
      <c r="AF148" s="26">
        <v>2368.1</v>
      </c>
      <c r="AG148" s="17">
        <f>AE148/AF148</f>
        <v>1.1386765761581015</v>
      </c>
      <c r="AH148" s="26">
        <v>3387.5</v>
      </c>
      <c r="AI148" s="26">
        <v>2245.1999999999998</v>
      </c>
      <c r="AJ148" s="17">
        <f>AH148/AI148</f>
        <v>1.5087742740067702</v>
      </c>
      <c r="AK148" s="18">
        <f>IF(AG148&gt;=AJ148,1,0)</f>
        <v>0</v>
      </c>
      <c r="AL148" s="28">
        <v>0.37</v>
      </c>
      <c r="AM148" s="28">
        <v>0.4</v>
      </c>
      <c r="AN148" s="18">
        <f>IF(AL148&lt;=AM148,1,0)</f>
        <v>1</v>
      </c>
      <c r="AO148" s="28">
        <v>0.19</v>
      </c>
      <c r="AP148" s="28">
        <v>0.22</v>
      </c>
      <c r="AQ148" s="18">
        <f>IF(AO148&gt;AP148,1,0)</f>
        <v>0</v>
      </c>
      <c r="AR148" s="28">
        <v>54.51</v>
      </c>
      <c r="AS148" s="28">
        <v>52.97</v>
      </c>
      <c r="AT148" s="14">
        <f>IF(AR148&gt;=AS148,1,0)</f>
        <v>1</v>
      </c>
      <c r="AU148" s="20">
        <f>SUM(I148,N148,AB148,AD148,AK148,AN148,AQ148,AT148,F148,W148)</f>
        <v>3</v>
      </c>
    </row>
    <row r="149" spans="1:47" customFormat="1" ht="15.6" x14ac:dyDescent="0.3">
      <c r="A149" s="11">
        <v>148</v>
      </c>
      <c r="B149" s="22" t="s">
        <v>195</v>
      </c>
      <c r="C149" s="23">
        <v>58049.07</v>
      </c>
      <c r="D149" s="24">
        <v>60.14</v>
      </c>
      <c r="E149" s="24">
        <v>29.47</v>
      </c>
      <c r="F149" s="14">
        <f>IF(OR(D149&gt;=E149,D149=0),0,1)</f>
        <v>0</v>
      </c>
      <c r="G149" s="24">
        <v>9.09</v>
      </c>
      <c r="H149" s="24">
        <v>9.2100000000000009</v>
      </c>
      <c r="I149" s="14">
        <f>IF(AND(H149&lt;=1,H149&gt;0),1,0)</f>
        <v>0</v>
      </c>
      <c r="J149" s="24">
        <v>936.1</v>
      </c>
      <c r="K149" s="24">
        <v>835.6</v>
      </c>
      <c r="L149" s="24">
        <v>7.65</v>
      </c>
      <c r="M149" s="24">
        <v>9.42</v>
      </c>
      <c r="N149" s="14">
        <f>IF(AND(J149&gt;K149,L149&gt;=M149),1,0)</f>
        <v>0</v>
      </c>
      <c r="O149" s="15">
        <v>317.39999999999998</v>
      </c>
      <c r="P149" s="15">
        <v>261.2</v>
      </c>
      <c r="Q149" s="15">
        <v>215.5</v>
      </c>
      <c r="R149" s="15">
        <v>202.2</v>
      </c>
      <c r="S149" s="15">
        <v>133.19999999999999</v>
      </c>
      <c r="T149" s="15">
        <v>223.7</v>
      </c>
      <c r="U149" s="15">
        <v>237.7</v>
      </c>
      <c r="V149" s="15">
        <v>187.9</v>
      </c>
      <c r="W149" s="14">
        <f>IF(AND(O149&gt;S149,P149&gt;T149,Q149&gt;U149,R149&gt;V149),1,0)</f>
        <v>0</v>
      </c>
      <c r="X149" s="24">
        <v>1237.0999999999999</v>
      </c>
      <c r="Y149" s="24">
        <v>903.4</v>
      </c>
      <c r="Z149" s="24">
        <v>9.2200000000000006</v>
      </c>
      <c r="AA149" s="24">
        <v>10.029999999999999</v>
      </c>
      <c r="AB149" s="14">
        <f>IF(AND(X149&gt;Y149,Z149&gt;=AA149,X149&gt;0),1,0)</f>
        <v>0</v>
      </c>
      <c r="AC149" s="12" t="str">
        <f>IF(X149&gt;J149,"Yes","No")</f>
        <v>Yes</v>
      </c>
      <c r="AD149" s="14">
        <f>IF(X149&gt;J149,1,0)</f>
        <v>1</v>
      </c>
      <c r="AE149" s="26">
        <v>4761.5</v>
      </c>
      <c r="AF149" s="27">
        <v>2780</v>
      </c>
      <c r="AG149" s="17">
        <f>AE149/AF149</f>
        <v>1.7127697841726619</v>
      </c>
      <c r="AH149" s="26">
        <v>2602.5</v>
      </c>
      <c r="AI149" s="26">
        <v>1531.5</v>
      </c>
      <c r="AJ149" s="17">
        <f>AH149/AI149</f>
        <v>1.6993143976493634</v>
      </c>
      <c r="AK149" s="18">
        <f>IF(AG149&gt;=AJ149,1,0)</f>
        <v>1</v>
      </c>
      <c r="AL149" s="28">
        <v>0</v>
      </c>
      <c r="AM149" s="28">
        <v>0.09</v>
      </c>
      <c r="AN149" s="18">
        <f>IF(AL149&lt;=AM149,1,0)</f>
        <v>1</v>
      </c>
      <c r="AO149" s="28">
        <v>1.3</v>
      </c>
      <c r="AP149" s="28">
        <v>1.56</v>
      </c>
      <c r="AQ149" s="18">
        <f>IF(AO149&gt;AP149,1,0)</f>
        <v>0</v>
      </c>
      <c r="AR149" s="28">
        <v>13.87</v>
      </c>
      <c r="AS149" s="28">
        <v>15.45</v>
      </c>
      <c r="AT149" s="14">
        <f>IF(AR149&gt;=AS149,1,0)</f>
        <v>0</v>
      </c>
      <c r="AU149" s="20">
        <f>SUM(I149,N149,AB149,AD149,AK149,AN149,AQ149,AT149,F149,W149)</f>
        <v>3</v>
      </c>
    </row>
    <row r="150" spans="1:47" customFormat="1" ht="15.6" x14ac:dyDescent="0.3">
      <c r="A150" s="11">
        <v>149</v>
      </c>
      <c r="B150" s="22" t="s">
        <v>196</v>
      </c>
      <c r="C150" s="23">
        <v>57544</v>
      </c>
      <c r="D150" s="24">
        <v>44.01</v>
      </c>
      <c r="E150" s="24">
        <v>39.799999999999997</v>
      </c>
      <c r="F150" s="14">
        <f>IF(OR(D150&gt;=E150,D150=0),0,1)</f>
        <v>0</v>
      </c>
      <c r="G150" s="24">
        <v>15.71</v>
      </c>
      <c r="H150" s="24">
        <v>1.79</v>
      </c>
      <c r="I150" s="14">
        <f>IF(AND(H150&lt;=1,H150&gt;0),1,0)</f>
        <v>0</v>
      </c>
      <c r="J150" s="24">
        <v>1314.66</v>
      </c>
      <c r="K150" s="24">
        <v>1111.26</v>
      </c>
      <c r="L150" s="24">
        <v>27.4</v>
      </c>
      <c r="M150" s="24">
        <v>27.1</v>
      </c>
      <c r="N150" s="14">
        <f>IF(AND(J150&gt;K150,L150&gt;=M150),1,0)</f>
        <v>1</v>
      </c>
      <c r="O150" s="15">
        <v>358.2</v>
      </c>
      <c r="P150" s="15">
        <v>341.1</v>
      </c>
      <c r="Q150" s="15">
        <v>307.89999999999998</v>
      </c>
      <c r="R150" s="15">
        <v>307.7</v>
      </c>
      <c r="S150" s="15">
        <v>284.2</v>
      </c>
      <c r="T150" s="15">
        <v>300</v>
      </c>
      <c r="U150" s="15" t="s">
        <v>76</v>
      </c>
      <c r="V150" s="15" t="s">
        <v>76</v>
      </c>
      <c r="W150" s="14">
        <f>IF(AND(O150&gt;S150,P150&gt;T150,Q150&gt;U150,R150&gt;V150),1,0)</f>
        <v>0</v>
      </c>
      <c r="X150" s="24">
        <v>833.73</v>
      </c>
      <c r="Y150" s="24">
        <v>882.17</v>
      </c>
      <c r="Z150" s="24">
        <v>17.68</v>
      </c>
      <c r="AA150" s="24">
        <v>20.71</v>
      </c>
      <c r="AB150" s="14">
        <f>IF(AND(X150&gt;Y150,Z150&gt;=AA150,X150&gt;0),1,0)</f>
        <v>0</v>
      </c>
      <c r="AC150" s="12" t="str">
        <f>IF(X150&gt;J150,"Yes","No")</f>
        <v>No</v>
      </c>
      <c r="AD150" s="14">
        <f>IF(X150&gt;J150,1,0)</f>
        <v>0</v>
      </c>
      <c r="AE150" s="26">
        <v>5680.1</v>
      </c>
      <c r="AF150" s="27">
        <v>2803</v>
      </c>
      <c r="AG150" s="17">
        <f>AE150/AF150</f>
        <v>2.0264359614698537</v>
      </c>
      <c r="AH150" s="26">
        <v>5144.2</v>
      </c>
      <c r="AI150" s="26">
        <v>2631.7</v>
      </c>
      <c r="AJ150" s="17">
        <f>AH150/AI150</f>
        <v>1.9547060835201582</v>
      </c>
      <c r="AK150" s="18">
        <f>IF(AG150&gt;=AJ150,1,0)</f>
        <v>1</v>
      </c>
      <c r="AL150" s="28">
        <v>0</v>
      </c>
      <c r="AM150" s="28">
        <v>0</v>
      </c>
      <c r="AN150" s="18">
        <f>IF(AL150&lt;=AM150,1,0)</f>
        <v>1</v>
      </c>
      <c r="AO150" s="28">
        <v>0.73</v>
      </c>
      <c r="AP150" s="28">
        <v>0.76</v>
      </c>
      <c r="AQ150" s="18">
        <f>IF(AO150&gt;AP150,1,0)</f>
        <v>0</v>
      </c>
      <c r="AR150" s="28">
        <v>31.6</v>
      </c>
      <c r="AS150" s="28">
        <v>33.06</v>
      </c>
      <c r="AT150" s="14">
        <f>IF(AR150&gt;=AS150,1,0)</f>
        <v>0</v>
      </c>
      <c r="AU150" s="20">
        <f>SUM(I150,N150,AB150,AD150,AK150,AN150,AQ150,AT150,F150,W150)</f>
        <v>3</v>
      </c>
    </row>
    <row r="151" spans="1:47" customFormat="1" ht="15.6" x14ac:dyDescent="0.3">
      <c r="A151" s="11">
        <v>150</v>
      </c>
      <c r="B151" s="22" t="s">
        <v>197</v>
      </c>
      <c r="C151" s="23">
        <v>54210.400000000001</v>
      </c>
      <c r="D151" s="24">
        <v>33.64</v>
      </c>
      <c r="E151" s="24">
        <v>29.72</v>
      </c>
      <c r="F151" s="14">
        <f>IF(OR(D151&gt;=E151,D151=0),0,1)</f>
        <v>0</v>
      </c>
      <c r="G151" s="24">
        <v>5.34</v>
      </c>
      <c r="H151" s="24">
        <v>1.33</v>
      </c>
      <c r="I151" s="14">
        <f>IF(AND(H151&lt;=1,H151&gt;0),1,0)</f>
        <v>0</v>
      </c>
      <c r="J151" s="24">
        <v>1660.2</v>
      </c>
      <c r="K151" s="24">
        <v>1681.5</v>
      </c>
      <c r="L151" s="24">
        <v>20.84</v>
      </c>
      <c r="M151" s="24">
        <v>21.95</v>
      </c>
      <c r="N151" s="14">
        <f>IF(AND(J151&gt;K151,L151&gt;=M151),1,0)</f>
        <v>0</v>
      </c>
      <c r="O151" s="15">
        <v>330.5</v>
      </c>
      <c r="P151" s="15">
        <v>372.7</v>
      </c>
      <c r="Q151" s="15">
        <v>508.2</v>
      </c>
      <c r="R151" s="15">
        <v>448.8</v>
      </c>
      <c r="S151" s="15">
        <v>369.5</v>
      </c>
      <c r="T151" s="15">
        <v>448.6</v>
      </c>
      <c r="U151" s="15">
        <v>480.5</v>
      </c>
      <c r="V151" s="15">
        <v>382.9</v>
      </c>
      <c r="W151" s="14">
        <f>IF(AND(O151&gt;S151,P151&gt;T151,Q151&gt;U151,R151&gt;V151),1,0)</f>
        <v>0</v>
      </c>
      <c r="X151" s="24">
        <v>1413</v>
      </c>
      <c r="Y151" s="24">
        <v>2035.9</v>
      </c>
      <c r="Z151" s="24">
        <v>18.09</v>
      </c>
      <c r="AA151" s="24">
        <v>26.56</v>
      </c>
      <c r="AB151" s="14">
        <f>IF(AND(X151&gt;Y151,Z151&gt;=AA151,X151&gt;0),1,0)</f>
        <v>0</v>
      </c>
      <c r="AC151" s="12" t="str">
        <f>IF(X151&gt;J151,"Yes","No")</f>
        <v>No</v>
      </c>
      <c r="AD151" s="14">
        <f>IF(X151&gt;J151,1,0)</f>
        <v>0</v>
      </c>
      <c r="AE151" s="26">
        <v>6952.2</v>
      </c>
      <c r="AF151" s="26">
        <v>1727.7</v>
      </c>
      <c r="AG151" s="17">
        <f>AE151/AF151</f>
        <v>4.0239624934884528</v>
      </c>
      <c r="AH151" s="26">
        <v>6678.5</v>
      </c>
      <c r="AI151" s="26">
        <v>1710.6</v>
      </c>
      <c r="AJ151" s="17">
        <f>AH151/AI151</f>
        <v>3.9041856658482406</v>
      </c>
      <c r="AK151" s="18">
        <f>IF(AG151&gt;=AJ151,1,0)</f>
        <v>1</v>
      </c>
      <c r="AL151" s="28">
        <v>0.01</v>
      </c>
      <c r="AM151" s="28">
        <v>0.01</v>
      </c>
      <c r="AN151" s="18">
        <f>IF(AL151&lt;=AM151,1,0)</f>
        <v>1</v>
      </c>
      <c r="AO151" s="28">
        <v>0.69</v>
      </c>
      <c r="AP151" s="28">
        <v>0.8</v>
      </c>
      <c r="AQ151" s="18">
        <f>IF(AO151&gt;AP151,1,0)</f>
        <v>0</v>
      </c>
      <c r="AR151" s="28">
        <v>26.18</v>
      </c>
      <c r="AS151" s="28">
        <v>25.59</v>
      </c>
      <c r="AT151" s="14">
        <f>IF(AR151&gt;=AS151,1,0)</f>
        <v>1</v>
      </c>
      <c r="AU151" s="20">
        <f>SUM(I151,N151,AB151,AD151,AK151,AN151,AQ151,AT151,F151,W151)</f>
        <v>3</v>
      </c>
    </row>
    <row r="152" spans="1:47" customFormat="1" ht="15.6" x14ac:dyDescent="0.3">
      <c r="A152" s="11">
        <v>151</v>
      </c>
      <c r="B152" s="22" t="s">
        <v>198</v>
      </c>
      <c r="C152" s="23">
        <v>50579.59</v>
      </c>
      <c r="D152" s="24">
        <v>63.14</v>
      </c>
      <c r="E152" s="24">
        <v>28.33</v>
      </c>
      <c r="F152" s="14">
        <f>IF(OR(D152&gt;=E152,D152=0),0,1)</f>
        <v>0</v>
      </c>
      <c r="G152" s="24">
        <v>10.52</v>
      </c>
      <c r="H152" s="24">
        <v>1.33</v>
      </c>
      <c r="I152" s="14">
        <f>IF(AND(H152&lt;=1,H152&gt;0),1,0)</f>
        <v>0</v>
      </c>
      <c r="J152" s="24">
        <v>714.17</v>
      </c>
      <c r="K152" s="24">
        <v>596.29</v>
      </c>
      <c r="L152" s="24">
        <v>2.86</v>
      </c>
      <c r="M152" s="24">
        <v>3.21</v>
      </c>
      <c r="N152" s="14">
        <f>IF(AND(J152&gt;K152,L152&gt;=M152),1,0)</f>
        <v>0</v>
      </c>
      <c r="O152" s="15">
        <v>187.6</v>
      </c>
      <c r="P152" s="15">
        <v>218.8</v>
      </c>
      <c r="Q152" s="15">
        <v>130.6</v>
      </c>
      <c r="R152" s="15">
        <v>177.8</v>
      </c>
      <c r="S152" s="15">
        <v>137.6</v>
      </c>
      <c r="T152" s="15">
        <v>180.6</v>
      </c>
      <c r="U152" s="15">
        <v>135.30000000000001</v>
      </c>
      <c r="V152" s="15">
        <v>143.9</v>
      </c>
      <c r="W152" s="14">
        <f>IF(AND(O152&gt;S152,P152&gt;T152,Q152&gt;U152,R152&gt;V152),1,0)</f>
        <v>0</v>
      </c>
      <c r="X152" s="24">
        <v>1209.4000000000001</v>
      </c>
      <c r="Y152" s="24">
        <v>1321.8</v>
      </c>
      <c r="Z152" s="24">
        <v>4.51</v>
      </c>
      <c r="AA152" s="24">
        <v>7.13</v>
      </c>
      <c r="AB152" s="14">
        <f>IF(AND(X152&gt;Y152,Z152&gt;=AA152,X152&gt;0),1,0)</f>
        <v>0</v>
      </c>
      <c r="AC152" s="12" t="str">
        <f>IF(X152&gt;J152,"Yes","No")</f>
        <v>Yes</v>
      </c>
      <c r="AD152" s="14">
        <f>IF(X152&gt;J152,1,0)</f>
        <v>1</v>
      </c>
      <c r="AE152" s="26">
        <v>11399.3</v>
      </c>
      <c r="AF152" s="26">
        <v>8810.7000000000007</v>
      </c>
      <c r="AG152" s="17">
        <f>AE152/AF152</f>
        <v>1.2938018545632013</v>
      </c>
      <c r="AH152" s="27">
        <v>9949</v>
      </c>
      <c r="AI152" s="26">
        <v>7582.8</v>
      </c>
      <c r="AJ152" s="17">
        <f>AH152/AI152</f>
        <v>1.3120483198818378</v>
      </c>
      <c r="AK152" s="18">
        <f>IF(AG152&gt;=AJ152,1,0)</f>
        <v>0</v>
      </c>
      <c r="AL152" s="28">
        <v>0</v>
      </c>
      <c r="AM152" s="28">
        <v>0</v>
      </c>
      <c r="AN152" s="18">
        <f>IF(AL152&lt;=AM152,1,0)</f>
        <v>1</v>
      </c>
      <c r="AO152" s="28">
        <v>1.79</v>
      </c>
      <c r="AP152" s="28">
        <v>1.58</v>
      </c>
      <c r="AQ152" s="18">
        <f>IF(AO152&gt;AP152,1,0)</f>
        <v>1</v>
      </c>
      <c r="AR152" s="28">
        <v>6.02</v>
      </c>
      <c r="AS152" s="28">
        <v>7.05</v>
      </c>
      <c r="AT152" s="14">
        <f>IF(AR152&gt;=AS152,1,0)</f>
        <v>0</v>
      </c>
      <c r="AU152" s="20">
        <f>SUM(I152,N152,AB152,AD152,AK152,AN152,AQ152,AT152,F152,W152)</f>
        <v>3</v>
      </c>
    </row>
    <row r="153" spans="1:47" customFormat="1" ht="15.6" x14ac:dyDescent="0.3">
      <c r="A153" s="11">
        <v>152</v>
      </c>
      <c r="B153" s="12" t="s">
        <v>199</v>
      </c>
      <c r="C153" s="13">
        <v>611763.07999999996</v>
      </c>
      <c r="D153" s="12">
        <v>57.53</v>
      </c>
      <c r="E153" s="12">
        <v>49.21</v>
      </c>
      <c r="F153" s="14">
        <f>IF(OR(D153&gt;=E153,D153=0),0,1)</f>
        <v>0</v>
      </c>
      <c r="G153" s="12">
        <v>12.38</v>
      </c>
      <c r="H153" s="12">
        <v>10.73</v>
      </c>
      <c r="I153" s="14">
        <f>IF(AND(H153&lt;=1,H153&gt;0),1,0)</f>
        <v>0</v>
      </c>
      <c r="J153" s="12">
        <v>10671</v>
      </c>
      <c r="K153" s="12">
        <v>10282</v>
      </c>
      <c r="L153" s="12">
        <v>16.55</v>
      </c>
      <c r="M153" s="12">
        <v>16.600000000000001</v>
      </c>
      <c r="N153" s="14">
        <f>IF(AND(J153&gt;K153,L153&gt;=M153),1,0)</f>
        <v>0</v>
      </c>
      <c r="O153" s="15">
        <v>2756</v>
      </c>
      <c r="P153" s="15">
        <v>2464</v>
      </c>
      <c r="Q153" s="15">
        <v>2984</v>
      </c>
      <c r="R153" s="15">
        <v>2591</v>
      </c>
      <c r="S153" s="15">
        <v>2610</v>
      </c>
      <c r="T153" s="15">
        <v>2558</v>
      </c>
      <c r="U153" s="15">
        <v>2509</v>
      </c>
      <c r="V153" s="15">
        <v>2656</v>
      </c>
      <c r="W153" s="14">
        <f>IF(AND(O153&gt;S153,P153&gt;T153,Q153&gt;U153,R153&gt;V153),1,0)</f>
        <v>0</v>
      </c>
      <c r="X153" s="12">
        <v>11886</v>
      </c>
      <c r="Y153" s="12">
        <v>15469</v>
      </c>
      <c r="Z153" s="12">
        <v>18.59</v>
      </c>
      <c r="AA153" s="12">
        <v>24.99</v>
      </c>
      <c r="AB153" s="14">
        <f>IF(AND(X153&gt;Y153,Z153&gt;=AA153,X153&gt;0),1,0)</f>
        <v>0</v>
      </c>
      <c r="AC153" s="12" t="str">
        <f>IF(X153&gt;J153,"Yes","No")</f>
        <v>Yes</v>
      </c>
      <c r="AD153" s="14">
        <f>IF(X153&gt;J153,1,0)</f>
        <v>1</v>
      </c>
      <c r="AE153" s="25">
        <v>22051</v>
      </c>
      <c r="AF153" s="25">
        <v>16537</v>
      </c>
      <c r="AG153" s="17">
        <f>AE153/AF153</f>
        <v>1.3334341174336337</v>
      </c>
      <c r="AH153" s="25">
        <v>21324</v>
      </c>
      <c r="AI153" s="25">
        <v>12876</v>
      </c>
      <c r="AJ153" s="17">
        <f>AH153/AI153</f>
        <v>1.6561043802423112</v>
      </c>
      <c r="AK153" s="18">
        <f>IF(AG153&gt;=AJ153,1,0)</f>
        <v>0</v>
      </c>
      <c r="AL153" s="19">
        <v>0</v>
      </c>
      <c r="AM153" s="19">
        <v>0</v>
      </c>
      <c r="AN153" s="18">
        <f>IF(AL153&lt;=AM153,1,0)</f>
        <v>1</v>
      </c>
      <c r="AO153" s="19">
        <v>0.8</v>
      </c>
      <c r="AP153" s="19">
        <v>0.82</v>
      </c>
      <c r="AQ153" s="18">
        <f>IF(AO153&gt;AP153,1,0)</f>
        <v>0</v>
      </c>
      <c r="AR153" s="19">
        <v>23.15</v>
      </c>
      <c r="AS153" s="19">
        <v>23.38</v>
      </c>
      <c r="AT153" s="14">
        <f>IF(AR153&gt;=AS153,1,0)</f>
        <v>0</v>
      </c>
      <c r="AU153" s="20">
        <f>SUM(I153,N153,AB153,AD153,AK153,AN153,AQ153,AT153,F153,W153)</f>
        <v>2</v>
      </c>
    </row>
    <row r="154" spans="1:47" customFormat="1" ht="15.6" x14ac:dyDescent="0.3">
      <c r="A154" s="11">
        <v>153</v>
      </c>
      <c r="B154" s="12" t="s">
        <v>200</v>
      </c>
      <c r="C154" s="13">
        <v>332936.34000000003</v>
      </c>
      <c r="D154" s="12">
        <v>34.96</v>
      </c>
      <c r="E154" s="12">
        <v>20.22</v>
      </c>
      <c r="F154" s="14">
        <f>IF(OR(D154&gt;=E154,D154=0),0,1)</f>
        <v>0</v>
      </c>
      <c r="G154" s="12">
        <v>4.5999999999999996</v>
      </c>
      <c r="H154" s="12">
        <v>1.4</v>
      </c>
      <c r="I154" s="14">
        <f>IF(AND(H154&lt;=1,H154&gt;0),1,0)</f>
        <v>0</v>
      </c>
      <c r="J154" s="12">
        <v>17557.64</v>
      </c>
      <c r="K154" s="12">
        <v>15595.36</v>
      </c>
      <c r="L154" s="12">
        <v>13.14</v>
      </c>
      <c r="M154" s="12">
        <v>14.14</v>
      </c>
      <c r="N154" s="14">
        <f>IF(AND(J154&gt;K154,L154&gt;=M154),1,0)</f>
        <v>0</v>
      </c>
      <c r="O154" s="15">
        <v>2416.6</v>
      </c>
      <c r="P154" s="15">
        <v>2231</v>
      </c>
      <c r="Q154" s="15">
        <v>2087</v>
      </c>
      <c r="R154" s="15">
        <v>2137.6999999999998</v>
      </c>
      <c r="S154" s="15">
        <v>2118.5</v>
      </c>
      <c r="T154" s="15">
        <v>2157.6999999999998</v>
      </c>
      <c r="U154" s="15">
        <v>1929</v>
      </c>
      <c r="V154" s="15">
        <v>1942.6</v>
      </c>
      <c r="W154" s="14">
        <f>IF(AND(O154&gt;S154,P154&gt;T154,Q154&gt;U154,R154&gt;V154),1,0)</f>
        <v>1</v>
      </c>
      <c r="X154" s="12">
        <v>-62113.25</v>
      </c>
      <c r="Y154" s="12">
        <v>-65502.04</v>
      </c>
      <c r="Z154" s="12">
        <v>-45.08</v>
      </c>
      <c r="AA154" s="12">
        <v>-59.34</v>
      </c>
      <c r="AB154" s="14">
        <f>IF(AND(X154&gt;Y154,Z154&gt;=AA154,X154&gt;0),1,0)</f>
        <v>0</v>
      </c>
      <c r="AC154" s="12" t="str">
        <f>IF(X154&gt;J154,"Yes","No")</f>
        <v>No</v>
      </c>
      <c r="AD154" s="14">
        <f>IF(X154&gt;J154,1,0)</f>
        <v>0</v>
      </c>
      <c r="AE154" s="16">
        <v>641639.6</v>
      </c>
      <c r="AF154" s="16">
        <v>516745.6</v>
      </c>
      <c r="AG154" s="17">
        <f>AE154/AF154</f>
        <v>1.2416933980666696</v>
      </c>
      <c r="AH154" s="16">
        <v>529347.1</v>
      </c>
      <c r="AI154" s="16">
        <v>252587.5</v>
      </c>
      <c r="AJ154" s="17">
        <f>AH154/AI154</f>
        <v>2.0956979264611273</v>
      </c>
      <c r="AK154" s="18">
        <f>IF(AG154&gt;=AJ154,1,0)</f>
        <v>0</v>
      </c>
      <c r="AL154" s="19">
        <v>0</v>
      </c>
      <c r="AM154" s="19">
        <v>2.92</v>
      </c>
      <c r="AN154" s="18">
        <f>IF(AL154&lt;=AM154,1,0)</f>
        <v>1</v>
      </c>
      <c r="AO154" s="19">
        <v>0.22</v>
      </c>
      <c r="AP154" s="19">
        <v>0.23</v>
      </c>
      <c r="AQ154" s="18">
        <f>IF(AO154&gt;AP154,1,0)</f>
        <v>0</v>
      </c>
      <c r="AR154" s="19">
        <v>36.770000000000003</v>
      </c>
      <c r="AS154" s="19">
        <v>36.840000000000003</v>
      </c>
      <c r="AT154" s="14">
        <f>IF(AR154&gt;=AS154,1,0)</f>
        <v>0</v>
      </c>
      <c r="AU154" s="20">
        <f>SUM(I154,N154,AB154,AD154,AK154,AN154,AQ154,AT154,F154,W154)</f>
        <v>2</v>
      </c>
    </row>
    <row r="155" spans="1:47" customFormat="1" ht="15.6" x14ac:dyDescent="0.3">
      <c r="A155" s="11">
        <v>154</v>
      </c>
      <c r="B155" s="12" t="s">
        <v>201</v>
      </c>
      <c r="C155" s="13">
        <v>311600.94</v>
      </c>
      <c r="D155" s="12">
        <v>8.6300000000000008</v>
      </c>
      <c r="E155" s="12">
        <v>14.13</v>
      </c>
      <c r="F155" s="14">
        <f>IF(OR(D155&gt;=E155,D155=0),0,1)</f>
        <v>1</v>
      </c>
      <c r="G155" s="12">
        <v>0.91</v>
      </c>
      <c r="H155" s="12">
        <v>-1.05</v>
      </c>
      <c r="I155" s="14">
        <f>IF(AND(H155&lt;=1,H155&gt;0),1,0)</f>
        <v>0</v>
      </c>
      <c r="J155" s="12">
        <v>38328.61</v>
      </c>
      <c r="K155" s="12">
        <v>55273.15</v>
      </c>
      <c r="L155" s="12">
        <v>6.27</v>
      </c>
      <c r="M155" s="12">
        <v>9.3800000000000008</v>
      </c>
      <c r="N155" s="14">
        <f>IF(AND(J155&gt;K155,L155&gt;=M155),1,0)</f>
        <v>0</v>
      </c>
      <c r="O155" s="15">
        <v>7322.8</v>
      </c>
      <c r="P155" s="15">
        <v>8621.7000000000007</v>
      </c>
      <c r="Q155" s="15">
        <v>10272.5</v>
      </c>
      <c r="R155" s="15">
        <v>9936.5</v>
      </c>
      <c r="S155" s="15">
        <v>10107.4</v>
      </c>
      <c r="T155" s="15">
        <v>10356.4</v>
      </c>
      <c r="U155" s="15">
        <v>13734.1</v>
      </c>
      <c r="V155" s="15">
        <v>14133.9</v>
      </c>
      <c r="W155" s="14">
        <f>IF(AND(O155&gt;S155,P155&gt;T155,Q155&gt;U155,R155&gt;V155),1,0)</f>
        <v>0</v>
      </c>
      <c r="X155" s="12">
        <v>90868.19</v>
      </c>
      <c r="Y155" s="12">
        <v>98846.61</v>
      </c>
      <c r="Z155" s="12">
        <v>13.8</v>
      </c>
      <c r="AA155" s="12">
        <v>16.43</v>
      </c>
      <c r="AB155" s="14">
        <f>IF(AND(X155&gt;Y155,Z155&gt;=AA155,X155&gt;0),1,0)</f>
        <v>0</v>
      </c>
      <c r="AC155" s="12" t="str">
        <f>IF(X155&gt;J155,"Yes","No")</f>
        <v>Yes</v>
      </c>
      <c r="AD155" s="14">
        <f>IF(X155&gt;J155,1,0)</f>
        <v>1</v>
      </c>
      <c r="AE155" s="16">
        <v>134796.5</v>
      </c>
      <c r="AF155" s="25">
        <v>166842</v>
      </c>
      <c r="AG155" s="17">
        <f>AE155/AF155</f>
        <v>0.80792905863032094</v>
      </c>
      <c r="AH155" s="25">
        <v>133341</v>
      </c>
      <c r="AI155" s="16">
        <v>151277.5</v>
      </c>
      <c r="AJ155" s="17">
        <f>AH155/AI155</f>
        <v>0.8814331278610501</v>
      </c>
      <c r="AK155" s="18">
        <f>IF(AG155&gt;=AJ155,1,0)</f>
        <v>0</v>
      </c>
      <c r="AL155" s="19">
        <v>0.28999999999999998</v>
      </c>
      <c r="AM155" s="19">
        <v>0.23</v>
      </c>
      <c r="AN155" s="18">
        <f>IF(AL155&lt;=AM155,1,0)</f>
        <v>0</v>
      </c>
      <c r="AO155" s="19">
        <v>0.83</v>
      </c>
      <c r="AP155" s="19">
        <v>0.89</v>
      </c>
      <c r="AQ155" s="18">
        <f>IF(AO155&gt;AP155,1,0)</f>
        <v>0</v>
      </c>
      <c r="AR155" s="19">
        <v>14.23</v>
      </c>
      <c r="AS155" s="19">
        <v>17.61</v>
      </c>
      <c r="AT155" s="14">
        <f>IF(AR155&gt;=AS155,1,0)</f>
        <v>0</v>
      </c>
      <c r="AU155" s="20">
        <f>SUM(I155,N155,AB155,AD155,AK155,AN155,AQ155,AT155,F155,W155)</f>
        <v>2</v>
      </c>
    </row>
    <row r="156" spans="1:47" customFormat="1" ht="15.6" x14ac:dyDescent="0.3">
      <c r="A156" s="11">
        <v>155</v>
      </c>
      <c r="B156" s="12" t="s">
        <v>202</v>
      </c>
      <c r="C156" s="13">
        <v>279977.90000000002</v>
      </c>
      <c r="D156" s="12">
        <v>102.46</v>
      </c>
      <c r="E156" s="12">
        <v>52.45</v>
      </c>
      <c r="F156" s="14">
        <f>IF(OR(D156&gt;=E156,D156=0),0,1)</f>
        <v>0</v>
      </c>
      <c r="G156" s="12">
        <v>12.23</v>
      </c>
      <c r="H156" s="12">
        <v>4.7</v>
      </c>
      <c r="I156" s="14">
        <f>IF(AND(H156&lt;=1,H156&gt;0),1,0)</f>
        <v>0</v>
      </c>
      <c r="J156" s="12">
        <v>2707.45</v>
      </c>
      <c r="K156" s="12">
        <v>2535.61</v>
      </c>
      <c r="L156" s="12">
        <v>4.54</v>
      </c>
      <c r="M156" s="12">
        <v>4.96</v>
      </c>
      <c r="N156" s="14">
        <f>IF(AND(J156&gt;K156,L156&gt;=M156),1,0)</f>
        <v>0</v>
      </c>
      <c r="O156" s="15">
        <v>773</v>
      </c>
      <c r="P156" s="15">
        <v>550.9</v>
      </c>
      <c r="Q156" s="15">
        <v>723.7</v>
      </c>
      <c r="R156" s="15">
        <v>659.6</v>
      </c>
      <c r="S156" s="15">
        <v>773.8</v>
      </c>
      <c r="T156" s="15">
        <v>563.29999999999995</v>
      </c>
      <c r="U156" s="15">
        <v>690.6</v>
      </c>
      <c r="V156" s="15">
        <v>623.6</v>
      </c>
      <c r="W156" s="14">
        <f>IF(AND(O156&gt;S156,P156&gt;T156,Q156&gt;U156,R156&gt;V156),1,0)</f>
        <v>0</v>
      </c>
      <c r="X156" s="12">
        <v>2462.9699999999998</v>
      </c>
      <c r="Y156" s="12">
        <v>2745.84</v>
      </c>
      <c r="Z156" s="12">
        <v>3.86</v>
      </c>
      <c r="AA156" s="12">
        <v>5.41</v>
      </c>
      <c r="AB156" s="14">
        <f>IF(AND(X156&gt;Y156,Z156&gt;=AA156,X156&gt;0),1,0)</f>
        <v>0</v>
      </c>
      <c r="AC156" s="12" t="str">
        <f>IF(X156&gt;J156,"Yes","No")</f>
        <v>No</v>
      </c>
      <c r="AD156" s="14">
        <f>IF(X156&gt;J156,1,0)</f>
        <v>0</v>
      </c>
      <c r="AE156" s="16">
        <v>6392.2</v>
      </c>
      <c r="AF156" s="16">
        <v>2212.1999999999998</v>
      </c>
      <c r="AG156" s="17">
        <f>AE156/AF156</f>
        <v>2.8895217430612061</v>
      </c>
      <c r="AH156" s="25">
        <v>6202</v>
      </c>
      <c r="AI156" s="16">
        <v>1979.1</v>
      </c>
      <c r="AJ156" s="17">
        <f>AH156/AI156</f>
        <v>3.1337476630791774</v>
      </c>
      <c r="AK156" s="18">
        <f>IF(AG156&gt;=AJ156,1,0)</f>
        <v>0</v>
      </c>
      <c r="AL156" s="19">
        <v>0</v>
      </c>
      <c r="AM156" s="19">
        <v>0</v>
      </c>
      <c r="AN156" s="18">
        <f>IF(AL156&lt;=AM156,1,0)</f>
        <v>1</v>
      </c>
      <c r="AO156" s="19">
        <v>2.61</v>
      </c>
      <c r="AP156" s="19">
        <v>2.59</v>
      </c>
      <c r="AQ156" s="18">
        <f>IF(AO156&gt;AP156,1,0)</f>
        <v>1</v>
      </c>
      <c r="AR156" s="19">
        <v>7.54</v>
      </c>
      <c r="AS156" s="19">
        <v>8.06</v>
      </c>
      <c r="AT156" s="14">
        <f>IF(AR156&gt;=AS156,1,0)</f>
        <v>0</v>
      </c>
      <c r="AU156" s="20">
        <f>SUM(I156,N156,AB156,AD156,AK156,AN156,AQ156,AT156,F156,W156)</f>
        <v>2</v>
      </c>
    </row>
    <row r="157" spans="1:47" customFormat="1" ht="15.6" x14ac:dyDescent="0.3">
      <c r="A157" s="11">
        <v>156</v>
      </c>
      <c r="B157" s="12" t="s">
        <v>203</v>
      </c>
      <c r="C157" s="13">
        <v>255534.67</v>
      </c>
      <c r="D157" s="12">
        <v>33.65</v>
      </c>
      <c r="E157" s="12">
        <v>33.65</v>
      </c>
      <c r="F157" s="14">
        <f>IF(OR(D157&gt;=E157,D157=0),0,1)</f>
        <v>0</v>
      </c>
      <c r="G157" s="12">
        <v>7.26</v>
      </c>
      <c r="H157" s="12">
        <v>3.24</v>
      </c>
      <c r="I157" s="14">
        <f>IF(AND(H157&lt;=1,H157&gt;0),1,0)</f>
        <v>0</v>
      </c>
      <c r="J157" s="12">
        <v>7324.73</v>
      </c>
      <c r="K157" s="12">
        <v>7708.24</v>
      </c>
      <c r="L157" s="12">
        <v>14.32</v>
      </c>
      <c r="M157" s="12">
        <v>17.21</v>
      </c>
      <c r="N157" s="14">
        <f>IF(AND(J157&gt;K157,L157&gt;=M157),1,0)</f>
        <v>0</v>
      </c>
      <c r="O157" s="15">
        <v>1801.9</v>
      </c>
      <c r="P157" s="15">
        <v>2195.6999999999998</v>
      </c>
      <c r="Q157" s="15">
        <v>1385.4</v>
      </c>
      <c r="R157" s="15">
        <v>1941.8</v>
      </c>
      <c r="S157" s="15">
        <v>2011.4</v>
      </c>
      <c r="T157" s="15">
        <v>2032.6</v>
      </c>
      <c r="U157" s="15">
        <v>2020.1</v>
      </c>
      <c r="V157" s="15">
        <v>1644.1</v>
      </c>
      <c r="W157" s="14">
        <f>IF(AND(O157&gt;S157,P157&gt;T157,Q157&gt;U157,R157&gt;V157),1,0)</f>
        <v>0</v>
      </c>
      <c r="X157" s="12">
        <v>-1405.57</v>
      </c>
      <c r="Y157" s="12">
        <v>6558.16</v>
      </c>
      <c r="Z157" s="12">
        <v>-2.69</v>
      </c>
      <c r="AA157" s="12">
        <v>14.62</v>
      </c>
      <c r="AB157" s="14">
        <f>IF(AND(X157&gt;Y157,Z157&gt;=AA157,X157&gt;0),1,0)</f>
        <v>0</v>
      </c>
      <c r="AC157" s="12" t="str">
        <f>IF(X157&gt;J157,"Yes","No")</f>
        <v>No</v>
      </c>
      <c r="AD157" s="14">
        <f>IF(X157&gt;J157,1,0)</f>
        <v>0</v>
      </c>
      <c r="AE157" s="16">
        <v>19445.900000000001</v>
      </c>
      <c r="AF157" s="16">
        <v>11583.8</v>
      </c>
      <c r="AG157" s="17">
        <f>AE157/AF157</f>
        <v>1.6787151021253823</v>
      </c>
      <c r="AH157" s="16">
        <v>11798.4</v>
      </c>
      <c r="AI157" s="16">
        <v>9091.2000000000007</v>
      </c>
      <c r="AJ157" s="17">
        <f>AH157/AI157</f>
        <v>1.2977824709609291</v>
      </c>
      <c r="AK157" s="18">
        <f>IF(AG157&gt;=AJ157,1,0)</f>
        <v>1</v>
      </c>
      <c r="AL157" s="19">
        <v>0.17</v>
      </c>
      <c r="AM157" s="19">
        <v>0.02</v>
      </c>
      <c r="AN157" s="18">
        <f>IF(AL157&lt;=AM157,1,0)</f>
        <v>0</v>
      </c>
      <c r="AO157" s="19">
        <v>1.0900000000000001</v>
      </c>
      <c r="AP157" s="19">
        <v>1.2</v>
      </c>
      <c r="AQ157" s="18">
        <f>IF(AO157&gt;AP157,1,0)</f>
        <v>0</v>
      </c>
      <c r="AR157" s="19">
        <v>19.95</v>
      </c>
      <c r="AS157" s="19">
        <v>18.920000000000002</v>
      </c>
      <c r="AT157" s="14">
        <f>IF(AR157&gt;=AS157,1,0)</f>
        <v>1</v>
      </c>
      <c r="AU157" s="20">
        <f>SUM(I157,N157,AB157,AD157,AK157,AN157,AQ157,AT157,F157,W157)</f>
        <v>2</v>
      </c>
    </row>
    <row r="158" spans="1:47" customFormat="1" ht="15.6" x14ac:dyDescent="0.3">
      <c r="A158" s="11">
        <v>157</v>
      </c>
      <c r="B158" s="12" t="s">
        <v>204</v>
      </c>
      <c r="C158" s="13">
        <v>240547.62</v>
      </c>
      <c r="D158" s="12">
        <v>62.48</v>
      </c>
      <c r="E158" s="12">
        <v>42.65</v>
      </c>
      <c r="F158" s="14">
        <f>IF(OR(D158&gt;=E158,D158=0),0,1)</f>
        <v>0</v>
      </c>
      <c r="G158" s="12">
        <v>12.4</v>
      </c>
      <c r="H158" s="12">
        <v>7.44</v>
      </c>
      <c r="I158" s="14">
        <f>IF(AND(H158&lt;=1,H158&gt;0),1,0)</f>
        <v>0</v>
      </c>
      <c r="J158" s="12">
        <v>3709.71</v>
      </c>
      <c r="K158" s="12">
        <v>5557.69</v>
      </c>
      <c r="L158" s="12">
        <v>11.71</v>
      </c>
      <c r="M158" s="12">
        <v>15.65</v>
      </c>
      <c r="N158" s="14">
        <f>IF(AND(J158&gt;K158,L158&gt;=M158),1,0)</f>
        <v>0</v>
      </c>
      <c r="O158" s="15">
        <v>692.1</v>
      </c>
      <c r="P158" s="15">
        <v>1110.5</v>
      </c>
      <c r="Q158" s="15">
        <v>694.6</v>
      </c>
      <c r="R158" s="15">
        <v>1170</v>
      </c>
      <c r="S158" s="15">
        <v>1256.7</v>
      </c>
      <c r="T158" s="15">
        <v>1447.7</v>
      </c>
      <c r="U158" s="15">
        <v>1205.4000000000001</v>
      </c>
      <c r="V158" s="15">
        <v>1550.4</v>
      </c>
      <c r="W158" s="14">
        <f>IF(AND(O158&gt;S158,P158&gt;T158,Q158&gt;U158,R158&gt;V158),1,0)</f>
        <v>0</v>
      </c>
      <c r="X158" s="12">
        <v>4423.96</v>
      </c>
      <c r="Y158" s="12">
        <v>6103.6</v>
      </c>
      <c r="Z158" s="12">
        <v>13.06</v>
      </c>
      <c r="AA158" s="12">
        <v>17.2</v>
      </c>
      <c r="AB158" s="14">
        <f>IF(AND(X158&gt;Y158,Z158&gt;=AA158,X158&gt;0),1,0)</f>
        <v>0</v>
      </c>
      <c r="AC158" s="12" t="str">
        <f>IF(X158&gt;J158,"Yes","No")</f>
        <v>Yes</v>
      </c>
      <c r="AD158" s="14">
        <f>IF(X158&gt;J158,1,0)</f>
        <v>1</v>
      </c>
      <c r="AE158" s="16">
        <v>16991.7</v>
      </c>
      <c r="AF158" s="16">
        <v>8141.2</v>
      </c>
      <c r="AG158" s="17">
        <f>AE158/AF158</f>
        <v>2.0871247481943693</v>
      </c>
      <c r="AH158" s="16">
        <v>17537.099999999999</v>
      </c>
      <c r="AI158" s="25">
        <v>8501</v>
      </c>
      <c r="AJ158" s="17">
        <f>AH158/AI158</f>
        <v>2.0629455358193152</v>
      </c>
      <c r="AK158" s="18">
        <f>IF(AG158&gt;=AJ158,1,0)</f>
        <v>1</v>
      </c>
      <c r="AL158" s="19">
        <v>0.01</v>
      </c>
      <c r="AM158" s="19">
        <v>0</v>
      </c>
      <c r="AN158" s="18">
        <f>IF(AL158&lt;=AM158,1,0)</f>
        <v>0</v>
      </c>
      <c r="AO158" s="19">
        <v>1.1200000000000001</v>
      </c>
      <c r="AP158" s="19">
        <v>1.27</v>
      </c>
      <c r="AQ158" s="18">
        <f>IF(AO158&gt;AP158,1,0)</f>
        <v>0</v>
      </c>
      <c r="AR158" s="19">
        <v>17.420000000000002</v>
      </c>
      <c r="AS158" s="19">
        <v>20.96</v>
      </c>
      <c r="AT158" s="14">
        <f>IF(AR158&gt;=AS158,1,0)</f>
        <v>0</v>
      </c>
      <c r="AU158" s="20">
        <f>SUM(I158,N158,AB158,AD158,AK158,AN158,AQ158,AT158,F158,W158)</f>
        <v>2</v>
      </c>
    </row>
    <row r="159" spans="1:47" customFormat="1" ht="15.6" x14ac:dyDescent="0.3">
      <c r="A159" s="11">
        <v>158</v>
      </c>
      <c r="B159" s="12" t="s">
        <v>205</v>
      </c>
      <c r="C159" s="13">
        <v>215927.86</v>
      </c>
      <c r="D159" s="12">
        <v>13.52</v>
      </c>
      <c r="E159" s="12">
        <v>20.38</v>
      </c>
      <c r="F159" s="14">
        <f>IF(OR(D159&gt;=E159,D159=0),0,1)</f>
        <v>1</v>
      </c>
      <c r="G159" s="12">
        <v>1.1599999999999999</v>
      </c>
      <c r="H159" s="12">
        <v>-0.62</v>
      </c>
      <c r="I159" s="14">
        <f>IF(AND(H159&lt;=1,H159&gt;0),1,0)</f>
        <v>0</v>
      </c>
      <c r="J159" s="12">
        <v>13788.83</v>
      </c>
      <c r="K159" s="12">
        <v>43161.15</v>
      </c>
      <c r="L159" s="12">
        <v>1.61</v>
      </c>
      <c r="M159" s="12">
        <v>5.52</v>
      </c>
      <c r="N159" s="14">
        <f>IF(AND(J159&gt;K159,L159&gt;=M159),1,0)</f>
        <v>0</v>
      </c>
      <c r="O159" s="15">
        <v>6813.7</v>
      </c>
      <c r="P159" s="15">
        <v>8123.6</v>
      </c>
      <c r="Q159" s="15">
        <v>2115.3000000000002</v>
      </c>
      <c r="R159" s="15">
        <v>-169.6</v>
      </c>
      <c r="S159" s="15">
        <v>3528.5</v>
      </c>
      <c r="T159" s="15">
        <v>5148.8999999999996</v>
      </c>
      <c r="U159" s="15">
        <v>9029.6</v>
      </c>
      <c r="V159" s="15">
        <v>13114.3</v>
      </c>
      <c r="W159" s="14">
        <f>IF(AND(O159&gt;S159,P159&gt;T159,Q159&gt;U159,R159&gt;V159),1,0)</f>
        <v>0</v>
      </c>
      <c r="X159" s="12">
        <v>34699.279999999999</v>
      </c>
      <c r="Y159" s="12">
        <v>71146.41</v>
      </c>
      <c r="Z159" s="12">
        <v>4.59</v>
      </c>
      <c r="AA159" s="12">
        <v>9.16</v>
      </c>
      <c r="AB159" s="14">
        <f>IF(AND(X159&gt;Y159,Z159&gt;=AA159,X159&gt;0),1,0)</f>
        <v>0</v>
      </c>
      <c r="AC159" s="12" t="str">
        <f>IF(X159&gt;J159,"Yes","No")</f>
        <v>Yes</v>
      </c>
      <c r="AD159" s="14">
        <f>IF(X159&gt;J159,1,0)</f>
        <v>1</v>
      </c>
      <c r="AE159" s="16">
        <v>157643.20000000001</v>
      </c>
      <c r="AF159" s="16">
        <v>230614.39999999999</v>
      </c>
      <c r="AG159" s="17">
        <f>AE159/AF159</f>
        <v>0.6835791693840455</v>
      </c>
      <c r="AH159" s="16">
        <v>158448.29999999999</v>
      </c>
      <c r="AI159" s="16">
        <v>216403.9</v>
      </c>
      <c r="AJ159" s="17">
        <f>AH159/AI159</f>
        <v>0.73218782101431623</v>
      </c>
      <c r="AK159" s="18">
        <f>IF(AG159&gt;=AJ159,1,0)</f>
        <v>0</v>
      </c>
      <c r="AL159" s="19">
        <v>0.28000000000000003</v>
      </c>
      <c r="AM159" s="19">
        <v>0.26</v>
      </c>
      <c r="AN159" s="18">
        <f>IF(AL159&lt;=AM159,1,0)</f>
        <v>0</v>
      </c>
      <c r="AO159" s="19">
        <v>1.53</v>
      </c>
      <c r="AP159" s="19">
        <v>1.68</v>
      </c>
      <c r="AQ159" s="18">
        <f>IF(AO159&gt;AP159,1,0)</f>
        <v>0</v>
      </c>
      <c r="AR159" s="19">
        <v>4.7300000000000004</v>
      </c>
      <c r="AS159" s="19">
        <v>9.69</v>
      </c>
      <c r="AT159" s="14">
        <f>IF(AR159&gt;=AS159,1,0)</f>
        <v>0</v>
      </c>
      <c r="AU159" s="20">
        <f>SUM(I159,N159,AB159,AD159,AK159,AN159,AQ159,AT159,F159,W159)</f>
        <v>2</v>
      </c>
    </row>
    <row r="160" spans="1:47" customFormat="1" ht="15.6" x14ac:dyDescent="0.3">
      <c r="A160" s="11">
        <v>159</v>
      </c>
      <c r="B160" s="12" t="s">
        <v>206</v>
      </c>
      <c r="C160" s="13">
        <v>196507.08</v>
      </c>
      <c r="D160" s="12">
        <v>122.17</v>
      </c>
      <c r="E160" s="12">
        <v>30.87</v>
      </c>
      <c r="F160" s="14">
        <f>IF(OR(D160&gt;=E160,D160=0),0,1)</f>
        <v>0</v>
      </c>
      <c r="G160" s="12">
        <v>1.46</v>
      </c>
      <c r="H160" s="12"/>
      <c r="I160" s="14">
        <f>IF(AND(H160&lt;=1,H160&gt;0),1,0)</f>
        <v>0</v>
      </c>
      <c r="J160" s="12">
        <v>1612.59</v>
      </c>
      <c r="K160" s="12">
        <v>1604.55</v>
      </c>
      <c r="L160" s="12">
        <v>78.92</v>
      </c>
      <c r="M160" s="12">
        <v>86.52</v>
      </c>
      <c r="N160" s="14">
        <f>IF(AND(J160&gt;K160,L160&gt;=M160),1,0)</f>
        <v>0</v>
      </c>
      <c r="O160" s="15">
        <v>594.4</v>
      </c>
      <c r="P160" s="15">
        <v>813.5</v>
      </c>
      <c r="Q160" s="15">
        <v>550.79999999999995</v>
      </c>
      <c r="R160" s="15">
        <v>529.4</v>
      </c>
      <c r="S160" s="15">
        <v>519.5</v>
      </c>
      <c r="T160" s="15">
        <v>810.8</v>
      </c>
      <c r="U160" s="15">
        <v>321.8</v>
      </c>
      <c r="V160" s="15">
        <v>380.2</v>
      </c>
      <c r="W160" s="14">
        <f>IF(AND(O160&gt;S160,P160&gt;T160,Q160&gt;U160,R160&gt;V160),1,0)</f>
        <v>1</v>
      </c>
      <c r="X160" s="12">
        <v>-10083.39</v>
      </c>
      <c r="Y160" s="12">
        <v>-677.57</v>
      </c>
      <c r="Z160" s="12">
        <v>-399.27</v>
      </c>
      <c r="AA160" s="12">
        <v>-36.53</v>
      </c>
      <c r="AB160" s="14">
        <f>IF(AND(X160&gt;Y160,Z160&gt;=AA160,X160&gt;0),1,0)</f>
        <v>0</v>
      </c>
      <c r="AC160" s="12" t="str">
        <f>IF(X160&gt;J160,"Yes","No")</f>
        <v>No</v>
      </c>
      <c r="AD160" s="14">
        <f>IF(X160&gt;J160,1,0)</f>
        <v>0</v>
      </c>
      <c r="AE160" s="16">
        <v>133137.5</v>
      </c>
      <c r="AF160" s="25">
        <v>4377</v>
      </c>
      <c r="AG160" s="17">
        <f>AE160/AF160</f>
        <v>30.417523417866118</v>
      </c>
      <c r="AH160" s="25">
        <v>144557</v>
      </c>
      <c r="AI160" s="19">
        <v>112.7</v>
      </c>
      <c r="AJ160" s="17">
        <f>AH160/AI160</f>
        <v>1282.670807453416</v>
      </c>
      <c r="AK160" s="18">
        <f>IF(AG160&gt;=AJ160,1,0)</f>
        <v>0</v>
      </c>
      <c r="AL160" s="19">
        <v>0</v>
      </c>
      <c r="AM160" s="19">
        <v>0</v>
      </c>
      <c r="AN160" s="18">
        <f>IF(AL160&lt;=AM160,1,0)</f>
        <v>1</v>
      </c>
      <c r="AO160" s="19">
        <v>0.01</v>
      </c>
      <c r="AP160" s="19">
        <v>0.01</v>
      </c>
      <c r="AQ160" s="18">
        <f>IF(AO160&gt;AP160,1,0)</f>
        <v>0</v>
      </c>
      <c r="AR160" s="19">
        <v>74.47</v>
      </c>
      <c r="AS160" s="19">
        <v>84.02</v>
      </c>
      <c r="AT160" s="14">
        <f>IF(AR160&gt;=AS160,1,0)</f>
        <v>0</v>
      </c>
      <c r="AU160" s="20">
        <f>SUM(I160,N160,AB160,AD160,AK160,AN160,AQ160,AT160,F160,W160)</f>
        <v>2</v>
      </c>
    </row>
    <row r="161" spans="1:47" customFormat="1" ht="15.6" x14ac:dyDescent="0.3">
      <c r="A161" s="11">
        <v>160</v>
      </c>
      <c r="B161" s="22" t="s">
        <v>207</v>
      </c>
      <c r="C161" s="23">
        <v>166182.22</v>
      </c>
      <c r="D161" s="24">
        <v>34.130000000000003</v>
      </c>
      <c r="E161" s="24">
        <v>29.47</v>
      </c>
      <c r="F161" s="14">
        <f>IF(OR(D161&gt;=E161,D161=0),0,1)</f>
        <v>0</v>
      </c>
      <c r="G161" s="24">
        <v>7.1</v>
      </c>
      <c r="H161" s="24">
        <v>6.55</v>
      </c>
      <c r="I161" s="14">
        <f>IF(AND(H161&lt;=1,H161&gt;0),1,0)</f>
        <v>0</v>
      </c>
      <c r="J161" s="24">
        <v>4602</v>
      </c>
      <c r="K161" s="24">
        <v>4584.6000000000004</v>
      </c>
      <c r="L161" s="24">
        <v>12.11</v>
      </c>
      <c r="M161" s="24">
        <v>12.91</v>
      </c>
      <c r="N161" s="14">
        <f>IF(AND(J161&gt;K161,L161&gt;=M161),1,0)</f>
        <v>0</v>
      </c>
      <c r="O161" s="15">
        <v>1254.0999999999999</v>
      </c>
      <c r="P161" s="15">
        <v>1128.5</v>
      </c>
      <c r="Q161" s="15">
        <v>1085.4000000000001</v>
      </c>
      <c r="R161" s="15">
        <v>1251</v>
      </c>
      <c r="S161" s="15">
        <v>1133.8</v>
      </c>
      <c r="T161" s="15">
        <v>1099.9000000000001</v>
      </c>
      <c r="U161" s="15">
        <v>1168.9000000000001</v>
      </c>
      <c r="V161" s="15">
        <v>1161.8</v>
      </c>
      <c r="W161" s="14">
        <f>IF(AND(O161&gt;S161,P161&gt;T161,Q161&gt;U161,R161&gt;V161),1,0)</f>
        <v>0</v>
      </c>
      <c r="X161" s="24">
        <v>4545.8</v>
      </c>
      <c r="Y161" s="24">
        <v>5669.5</v>
      </c>
      <c r="Z161" s="24">
        <v>11.46</v>
      </c>
      <c r="AA161" s="24">
        <v>15.96</v>
      </c>
      <c r="AB161" s="14">
        <f>IF(AND(X161&gt;Y161,Z161&gt;=AA161,X161&gt;0),1,0)</f>
        <v>0</v>
      </c>
      <c r="AC161" s="12" t="str">
        <f>IF(X161&gt;J161,"Yes","No")</f>
        <v>No</v>
      </c>
      <c r="AD161" s="14">
        <f>IF(X161&gt;J161,1,0)</f>
        <v>0</v>
      </c>
      <c r="AE161" s="16">
        <v>20937.900000000001</v>
      </c>
      <c r="AF161" s="16">
        <v>5965.9</v>
      </c>
      <c r="AG161" s="17">
        <f>AE161/AF161</f>
        <v>3.5095962050989797</v>
      </c>
      <c r="AH161" s="16">
        <v>18846.400000000001</v>
      </c>
      <c r="AI161" s="16">
        <v>5743.2</v>
      </c>
      <c r="AJ161" s="17">
        <f>AH161/AI161</f>
        <v>3.2815155314110602</v>
      </c>
      <c r="AK161" s="18">
        <f>IF(AG161&gt;=AJ161,1,0)</f>
        <v>1</v>
      </c>
      <c r="AL161" s="19">
        <v>0</v>
      </c>
      <c r="AM161" s="19">
        <v>0</v>
      </c>
      <c r="AN161" s="18">
        <f>IF(AL161&lt;=AM161,1,0)</f>
        <v>1</v>
      </c>
      <c r="AO161" s="19">
        <v>1.31</v>
      </c>
      <c r="AP161" s="19">
        <v>1.39</v>
      </c>
      <c r="AQ161" s="18">
        <f>IF(AO161&gt;AP161,1,0)</f>
        <v>0</v>
      </c>
      <c r="AR161" s="19">
        <v>16.649999999999999</v>
      </c>
      <c r="AS161" s="19">
        <v>17.64</v>
      </c>
      <c r="AT161" s="14">
        <f>IF(AR161&gt;=AS161,1,0)</f>
        <v>0</v>
      </c>
      <c r="AU161" s="20">
        <f>SUM(I161,N161,AB161,AD161,AK161,AN161,AQ161,AT161,F161,W161)</f>
        <v>2</v>
      </c>
    </row>
    <row r="162" spans="1:47" customFormat="1" ht="15.6" x14ac:dyDescent="0.3">
      <c r="A162" s="11">
        <v>161</v>
      </c>
      <c r="B162" s="22" t="s">
        <v>208</v>
      </c>
      <c r="C162" s="23">
        <v>140837.5</v>
      </c>
      <c r="D162" s="24">
        <v>20.22</v>
      </c>
      <c r="E162" s="24">
        <v>20.22</v>
      </c>
      <c r="F162" s="14">
        <f>IF(OR(D162&gt;=E162,D162=0),0,1)</f>
        <v>0</v>
      </c>
      <c r="G162" s="24">
        <v>2.25</v>
      </c>
      <c r="H162" s="24">
        <v>1.21</v>
      </c>
      <c r="I162" s="14">
        <f>IF(AND(H162&lt;=1,H162&gt;0),1,0)</f>
        <v>0</v>
      </c>
      <c r="J162" s="24">
        <v>6625.7</v>
      </c>
      <c r="K162" s="24">
        <v>7364.91</v>
      </c>
      <c r="L162" s="24">
        <v>885.16</v>
      </c>
      <c r="M162" s="24">
        <v>432.73</v>
      </c>
      <c r="N162" s="14">
        <f>IF(AND(J162&gt;K162,L162&gt;=M162),1,0)</f>
        <v>0</v>
      </c>
      <c r="O162" s="15">
        <v>1725.5</v>
      </c>
      <c r="P162" s="15">
        <v>1748.4</v>
      </c>
      <c r="Q162" s="15">
        <v>1436.4</v>
      </c>
      <c r="R162" s="15">
        <v>1610.5</v>
      </c>
      <c r="S162" s="15">
        <v>2716.1</v>
      </c>
      <c r="T162" s="15">
        <v>1644.4</v>
      </c>
      <c r="U162" s="15">
        <v>1491.2</v>
      </c>
      <c r="V162" s="15">
        <v>1415.5</v>
      </c>
      <c r="W162" s="14">
        <f>IF(AND(O162&gt;S162,P162&gt;T162,Q162&gt;U162,R162&gt;V162),1,0)</f>
        <v>0</v>
      </c>
      <c r="X162" s="24">
        <v>-1956.76</v>
      </c>
      <c r="Y162" s="24">
        <v>1941.12</v>
      </c>
      <c r="Z162" s="24">
        <v>-223.55</v>
      </c>
      <c r="AA162" s="24">
        <v>114.05</v>
      </c>
      <c r="AB162" s="14">
        <f>IF(AND(X162&gt;Y162,Z162&gt;=AA162,X162&gt;0),1,0)</f>
        <v>0</v>
      </c>
      <c r="AC162" s="12" t="str">
        <f>IF(X162&gt;J162,"Yes","No")</f>
        <v>No</v>
      </c>
      <c r="AD162" s="14">
        <f>IF(X162&gt;J162,1,0)</f>
        <v>0</v>
      </c>
      <c r="AE162" s="16">
        <v>75037.399999999994</v>
      </c>
      <c r="AF162" s="19">
        <v>86.3</v>
      </c>
      <c r="AG162" s="17">
        <f>AE162/AF162</f>
        <v>869.49478563151797</v>
      </c>
      <c r="AH162" s="16">
        <v>64885.9</v>
      </c>
      <c r="AI162" s="19">
        <v>112.5</v>
      </c>
      <c r="AJ162" s="17">
        <f>AH162/AI162</f>
        <v>576.76355555555551</v>
      </c>
      <c r="AK162" s="18">
        <f>IF(AG162&gt;=AJ162,1,0)</f>
        <v>1</v>
      </c>
      <c r="AL162" s="19">
        <v>0</v>
      </c>
      <c r="AM162" s="19">
        <v>0</v>
      </c>
      <c r="AN162" s="18">
        <f>IF(AL162&lt;=AM162,1,0)</f>
        <v>1</v>
      </c>
      <c r="AO162" s="19">
        <v>0.01</v>
      </c>
      <c r="AP162" s="19">
        <v>0.03</v>
      </c>
      <c r="AQ162" s="18">
        <f>IF(AO162&gt;AP162,1,0)</f>
        <v>0</v>
      </c>
      <c r="AR162" s="19">
        <v>60.68</v>
      </c>
      <c r="AS162" s="19">
        <v>88.04</v>
      </c>
      <c r="AT162" s="14">
        <f>IF(AR162&gt;=AS162,1,0)</f>
        <v>0</v>
      </c>
      <c r="AU162" s="20">
        <f>SUM(I162,N162,AB162,AD162,AK162,AN162,AQ162,AT162,F162,W162)</f>
        <v>2</v>
      </c>
    </row>
    <row r="163" spans="1:47" customFormat="1" ht="15.6" x14ac:dyDescent="0.3">
      <c r="A163" s="11">
        <v>162</v>
      </c>
      <c r="B163" s="22" t="s">
        <v>209</v>
      </c>
      <c r="C163" s="23">
        <v>140377.82</v>
      </c>
      <c r="D163" s="24">
        <v>38.369999999999997</v>
      </c>
      <c r="E163" s="24">
        <v>22.82</v>
      </c>
      <c r="F163" s="14">
        <f>IF(OR(D163&gt;=E163,D163=0),0,1)</f>
        <v>0</v>
      </c>
      <c r="G163" s="24"/>
      <c r="H163" s="24">
        <v>1.25</v>
      </c>
      <c r="I163" s="14">
        <f>IF(AND(H163&lt;=1,H163&gt;0),1,0)</f>
        <v>0</v>
      </c>
      <c r="J163" s="24">
        <v>3655.02</v>
      </c>
      <c r="K163" s="24">
        <v>3326.96</v>
      </c>
      <c r="L163" s="24">
        <v>12.88</v>
      </c>
      <c r="M163" s="24">
        <v>18.23</v>
      </c>
      <c r="N163" s="14">
        <f>IF(AND(J163&gt;K163,L163&gt;=M163),1,0)</f>
        <v>0</v>
      </c>
      <c r="O163" s="15">
        <v>989.9</v>
      </c>
      <c r="P163" s="15" t="s">
        <v>76</v>
      </c>
      <c r="Q163" s="15" t="s">
        <v>76</v>
      </c>
      <c r="R163" s="15">
        <v>1075.7</v>
      </c>
      <c r="S163" s="15">
        <v>461.7</v>
      </c>
      <c r="T163" s="15" t="s">
        <v>76</v>
      </c>
      <c r="U163" s="15" t="s">
        <v>76</v>
      </c>
      <c r="V163" s="15" t="s">
        <v>76</v>
      </c>
      <c r="W163" s="14">
        <f>IF(AND(O163&gt;S163,P163&gt;T163,Q163&gt;U163,R163&gt;V163),1,0)</f>
        <v>0</v>
      </c>
      <c r="X163" s="24">
        <v>-29872.48</v>
      </c>
      <c r="Y163" s="24">
        <v>-37998.54</v>
      </c>
      <c r="Z163" s="24">
        <v>-105.47</v>
      </c>
      <c r="AA163" s="24">
        <v>-209.04</v>
      </c>
      <c r="AB163" s="14">
        <f>IF(AND(X163&gt;Y163,Z163&gt;=AA163,X163&gt;0),1,0)</f>
        <v>0</v>
      </c>
      <c r="AC163" s="12" t="str">
        <f>IF(X163&gt;J163,"Yes","No")</f>
        <v>No</v>
      </c>
      <c r="AD163" s="14">
        <f>IF(X163&gt;J163,1,0)</f>
        <v>0</v>
      </c>
      <c r="AE163" s="16">
        <v>243998.5</v>
      </c>
      <c r="AF163" s="25">
        <v>213126</v>
      </c>
      <c r="AG163" s="17">
        <f>AE163/AF163</f>
        <v>1.1448556253108491</v>
      </c>
      <c r="AH163" s="25">
        <v>174394</v>
      </c>
      <c r="AI163" s="16">
        <v>151336.5</v>
      </c>
      <c r="AJ163" s="17">
        <f>AH163/AI163</f>
        <v>1.1523591466698384</v>
      </c>
      <c r="AK163" s="18">
        <f>IF(AG163&gt;=AJ163,1,0)</f>
        <v>0</v>
      </c>
      <c r="AL163" s="19">
        <v>0</v>
      </c>
      <c r="AM163" s="19">
        <v>0</v>
      </c>
      <c r="AN163" s="18">
        <f>IF(AL163&lt;=AM163,1,0)</f>
        <v>1</v>
      </c>
      <c r="AO163" s="19">
        <v>0.13</v>
      </c>
      <c r="AP163" s="19">
        <v>0.12</v>
      </c>
      <c r="AQ163" s="18">
        <f>IF(AO163&gt;AP163,1,0)</f>
        <v>1</v>
      </c>
      <c r="AR163" s="19">
        <v>71.5</v>
      </c>
      <c r="AS163" s="19">
        <v>78.23</v>
      </c>
      <c r="AT163" s="14">
        <f>IF(AR163&gt;=AS163,1,0)</f>
        <v>0</v>
      </c>
      <c r="AU163" s="20">
        <f>SUM(I163,N163,AB163,AD163,AK163,AN163,AQ163,AT163,F163,W163)</f>
        <v>2</v>
      </c>
    </row>
    <row r="164" spans="1:47" customFormat="1" ht="15.6" x14ac:dyDescent="0.3">
      <c r="A164" s="11">
        <v>163</v>
      </c>
      <c r="B164" s="22" t="s">
        <v>210</v>
      </c>
      <c r="C164" s="23">
        <v>139563.60999999999</v>
      </c>
      <c r="D164" s="24">
        <v>31.34</v>
      </c>
      <c r="E164" s="24">
        <v>22.82</v>
      </c>
      <c r="F164" s="14">
        <f>IF(OR(D164&gt;=E164,D164=0),0,1)</f>
        <v>0</v>
      </c>
      <c r="G164" s="24">
        <v>5.88</v>
      </c>
      <c r="H164" s="24">
        <v>1.23</v>
      </c>
      <c r="I164" s="14">
        <f>IF(AND(H164&lt;=1,H164&gt;0),1,0)</f>
        <v>0</v>
      </c>
      <c r="J164" s="24">
        <v>4262.7</v>
      </c>
      <c r="K164" s="24">
        <v>3420.06</v>
      </c>
      <c r="L164" s="24">
        <v>16.489999999999998</v>
      </c>
      <c r="M164" s="24">
        <v>17.850000000000001</v>
      </c>
      <c r="N164" s="14">
        <f>IF(AND(J164&gt;K164,L164&gt;=M164),1,0)</f>
        <v>0</v>
      </c>
      <c r="O164" s="15">
        <v>1259.5</v>
      </c>
      <c r="P164" s="15">
        <v>1088.2</v>
      </c>
      <c r="Q164" s="15">
        <v>967.8</v>
      </c>
      <c r="R164" s="15">
        <v>947.2</v>
      </c>
      <c r="S164" s="15">
        <v>1065.2</v>
      </c>
      <c r="T164" s="15">
        <v>872</v>
      </c>
      <c r="U164" s="15">
        <v>772.9</v>
      </c>
      <c r="V164" s="15">
        <v>709.9</v>
      </c>
      <c r="W164" s="14">
        <f>IF(AND(O164&gt;S164,P164&gt;T164,Q164&gt;U164,R164&gt;V164),1,0)</f>
        <v>1</v>
      </c>
      <c r="X164" s="24">
        <v>-32413.15</v>
      </c>
      <c r="Y164" s="24">
        <v>-35682.85</v>
      </c>
      <c r="Z164" s="24">
        <v>-118.73</v>
      </c>
      <c r="AA164" s="24">
        <v>-186.2</v>
      </c>
      <c r="AB164" s="14">
        <f>IF(AND(X164&gt;Y164,Z164&gt;=AA164,X164&gt;0),1,0)</f>
        <v>0</v>
      </c>
      <c r="AC164" s="12" t="str">
        <f>IF(X164&gt;J164,"Yes","No")</f>
        <v>No</v>
      </c>
      <c r="AD164" s="14">
        <f>IF(X164&gt;J164,1,0)</f>
        <v>0</v>
      </c>
      <c r="AE164" s="16">
        <v>198799.4</v>
      </c>
      <c r="AF164" s="16">
        <v>136356.70000000001</v>
      </c>
      <c r="AG164" s="17">
        <f>AE164/AF164</f>
        <v>1.4579364270329216</v>
      </c>
      <c r="AH164" s="16">
        <v>153989.20000000001</v>
      </c>
      <c r="AI164" s="16">
        <v>106850.9</v>
      </c>
      <c r="AJ164" s="17">
        <f>AH164/AI164</f>
        <v>1.4411595971582833</v>
      </c>
      <c r="AK164" s="18">
        <f>IF(AG164&gt;=AJ164,1,0)</f>
        <v>1</v>
      </c>
      <c r="AL164" s="19">
        <v>1.74</v>
      </c>
      <c r="AM164" s="19">
        <v>1.53</v>
      </c>
      <c r="AN164" s="18">
        <f>IF(AL164&lt;=AM164,1,0)</f>
        <v>0</v>
      </c>
      <c r="AO164" s="19">
        <v>0.14000000000000001</v>
      </c>
      <c r="AP164" s="19">
        <v>0.14000000000000001</v>
      </c>
      <c r="AQ164" s="18">
        <f>IF(AO164&gt;AP164,1,0)</f>
        <v>0</v>
      </c>
      <c r="AR164" s="19">
        <v>69.489999999999995</v>
      </c>
      <c r="AS164" s="19">
        <v>70.819999999999993</v>
      </c>
      <c r="AT164" s="14">
        <f>IF(AR164&gt;=AS164,1,0)</f>
        <v>0</v>
      </c>
      <c r="AU164" s="20">
        <f>SUM(I164,N164,AB164,AD164,AK164,AN164,AQ164,AT164,F164,W164)</f>
        <v>2</v>
      </c>
    </row>
    <row r="165" spans="1:47" customFormat="1" ht="15.6" x14ac:dyDescent="0.3">
      <c r="A165" s="11">
        <v>164</v>
      </c>
      <c r="B165" s="22" t="s">
        <v>211</v>
      </c>
      <c r="C165" s="23">
        <v>119319.55</v>
      </c>
      <c r="D165" s="24">
        <v>119</v>
      </c>
      <c r="E165" s="24">
        <v>49.5</v>
      </c>
      <c r="F165" s="14">
        <f>IF(OR(D165&gt;=E165,D165=0),0,1)</f>
        <v>0</v>
      </c>
      <c r="G165" s="24">
        <v>30.14</v>
      </c>
      <c r="H165" s="24">
        <v>10.83</v>
      </c>
      <c r="I165" s="14">
        <f>IF(AND(H165&lt;=1,H165&gt;0),1,0)</f>
        <v>0</v>
      </c>
      <c r="J165" s="24">
        <v>972.98</v>
      </c>
      <c r="K165" s="24">
        <v>1427.61</v>
      </c>
      <c r="L165" s="24">
        <v>9.56</v>
      </c>
      <c r="M165" s="24">
        <v>17.27</v>
      </c>
      <c r="N165" s="14">
        <f>IF(AND(J165&gt;K165,L165&gt;=M165),1,0)</f>
        <v>0</v>
      </c>
      <c r="O165" s="15">
        <v>269.2</v>
      </c>
      <c r="P165" s="15">
        <v>272</v>
      </c>
      <c r="Q165" s="15">
        <v>240.5</v>
      </c>
      <c r="R165" s="15">
        <v>221</v>
      </c>
      <c r="S165" s="15">
        <v>241.1</v>
      </c>
      <c r="T165" s="15">
        <v>233.6</v>
      </c>
      <c r="U165" s="15">
        <v>747.5</v>
      </c>
      <c r="V165" s="15">
        <v>242.3</v>
      </c>
      <c r="W165" s="14">
        <f>IF(AND(O165&gt;S165,P165&gt;T165,Q165&gt;U165,R165&gt;V165),1,0)</f>
        <v>0</v>
      </c>
      <c r="X165" s="24">
        <v>944.42</v>
      </c>
      <c r="Y165" s="24">
        <v>1027.79</v>
      </c>
      <c r="Z165" s="24">
        <v>8.94</v>
      </c>
      <c r="AA165" s="24">
        <v>12.77</v>
      </c>
      <c r="AB165" s="14">
        <f>IF(AND(X165&gt;Y165,Z165&gt;=AA165,X165&gt;0),1,0)</f>
        <v>0</v>
      </c>
      <c r="AC165" s="12" t="str">
        <f>IF(X165&gt;J165,"Yes","No")</f>
        <v>No</v>
      </c>
      <c r="AD165" s="14">
        <f>IF(X165&gt;J165,1,0)</f>
        <v>0</v>
      </c>
      <c r="AE165" s="16">
        <v>5324.6</v>
      </c>
      <c r="AF165" s="25">
        <v>3190</v>
      </c>
      <c r="AG165" s="17">
        <f>AE165/AF165</f>
        <v>1.6691536050156741</v>
      </c>
      <c r="AH165" s="16">
        <v>4183.8999999999996</v>
      </c>
      <c r="AI165" s="16">
        <v>2548.1</v>
      </c>
      <c r="AJ165" s="17">
        <f>AH165/AI165</f>
        <v>1.6419685255680703</v>
      </c>
      <c r="AK165" s="18">
        <f>IF(AG165&gt;=AJ165,1,0)</f>
        <v>1</v>
      </c>
      <c r="AL165" s="19">
        <v>0</v>
      </c>
      <c r="AM165" s="19">
        <v>0</v>
      </c>
      <c r="AN165" s="18">
        <f>IF(AL165&lt;=AM165,1,0)</f>
        <v>1</v>
      </c>
      <c r="AO165" s="19">
        <v>1.52</v>
      </c>
      <c r="AP165" s="19">
        <v>1.57</v>
      </c>
      <c r="AQ165" s="18">
        <f>IF(AO165&gt;AP165,1,0)</f>
        <v>0</v>
      </c>
      <c r="AR165" s="19">
        <v>12.95</v>
      </c>
      <c r="AS165" s="19">
        <v>13.84</v>
      </c>
      <c r="AT165" s="14">
        <f>IF(AR165&gt;=AS165,1,0)</f>
        <v>0</v>
      </c>
      <c r="AU165" s="20">
        <f>SUM(I165,N165,AB165,AD165,AK165,AN165,AQ165,AT165,F165,W165)</f>
        <v>2</v>
      </c>
    </row>
    <row r="166" spans="1:47" customFormat="1" ht="15.6" x14ac:dyDescent="0.3">
      <c r="A166" s="11">
        <v>165</v>
      </c>
      <c r="B166" s="22" t="s">
        <v>212</v>
      </c>
      <c r="C166" s="23">
        <v>116930.88</v>
      </c>
      <c r="D166" s="24">
        <v>97.48</v>
      </c>
      <c r="E166" s="24">
        <v>59.79</v>
      </c>
      <c r="F166" s="14">
        <f>IF(OR(D166&gt;=E166,D166=0),0,1)</f>
        <v>0</v>
      </c>
      <c r="G166" s="24">
        <v>12.46</v>
      </c>
      <c r="H166" s="24">
        <v>4.32</v>
      </c>
      <c r="I166" s="14">
        <f>IF(AND(H166&lt;=1,H166&gt;0),1,0)</f>
        <v>0</v>
      </c>
      <c r="J166" s="24">
        <v>1075.8800000000001</v>
      </c>
      <c r="K166" s="24">
        <v>1057.6400000000001</v>
      </c>
      <c r="L166" s="24">
        <v>16.100000000000001</v>
      </c>
      <c r="M166" s="24">
        <v>19.559999999999999</v>
      </c>
      <c r="N166" s="14">
        <f>IF(AND(J166&gt;K166,L166&gt;=M166),1,0)</f>
        <v>0</v>
      </c>
      <c r="O166" s="15">
        <v>319</v>
      </c>
      <c r="P166" s="15">
        <v>238.8</v>
      </c>
      <c r="Q166" s="15">
        <v>281.8</v>
      </c>
      <c r="R166" s="15">
        <v>236.3</v>
      </c>
      <c r="S166" s="15">
        <v>251.5</v>
      </c>
      <c r="T166" s="15">
        <v>289.3</v>
      </c>
      <c r="U166" s="15">
        <v>276.7</v>
      </c>
      <c r="V166" s="15">
        <v>240.1</v>
      </c>
      <c r="W166" s="14">
        <f>IF(AND(O166&gt;S166,P166&gt;T166,Q166&gt;U166,R166&gt;V166),1,0)</f>
        <v>0</v>
      </c>
      <c r="X166" s="24">
        <v>1459.31</v>
      </c>
      <c r="Y166" s="24">
        <v>1121.8</v>
      </c>
      <c r="Z166" s="24">
        <v>19.420000000000002</v>
      </c>
      <c r="AA166" s="24">
        <v>20.75</v>
      </c>
      <c r="AB166" s="14">
        <f>IF(AND(X166&gt;Y166,Z166&gt;=AA166,X166&gt;0),1,0)</f>
        <v>0</v>
      </c>
      <c r="AC166" s="12" t="str">
        <f>IF(X166&gt;J166,"Yes","No")</f>
        <v>Yes</v>
      </c>
      <c r="AD166" s="14">
        <f>IF(X166&gt;J166,1,0)</f>
        <v>1</v>
      </c>
      <c r="AE166" s="16">
        <v>1592.6</v>
      </c>
      <c r="AF166" s="16">
        <v>1813.8</v>
      </c>
      <c r="AG166" s="17">
        <f>AE166/AF166</f>
        <v>0.8780460910795016</v>
      </c>
      <c r="AH166" s="16">
        <v>1706.2</v>
      </c>
      <c r="AI166" s="16">
        <v>1248.7</v>
      </c>
      <c r="AJ166" s="17">
        <f>AH166/AI166</f>
        <v>1.3663810362777289</v>
      </c>
      <c r="AK166" s="18">
        <f>IF(AG166&gt;=AJ166,1,0)</f>
        <v>0</v>
      </c>
      <c r="AL166" s="19">
        <v>0.24</v>
      </c>
      <c r="AM166" s="19">
        <v>0.13</v>
      </c>
      <c r="AN166" s="18">
        <f>IF(AL166&lt;=AM166,1,0)</f>
        <v>0</v>
      </c>
      <c r="AO166" s="19">
        <v>0.52</v>
      </c>
      <c r="AP166" s="19">
        <v>0.49</v>
      </c>
      <c r="AQ166" s="18">
        <f>IF(AO166&gt;AP166,1,0)</f>
        <v>1</v>
      </c>
      <c r="AR166" s="19">
        <v>25.73</v>
      </c>
      <c r="AS166" s="19">
        <v>26.72</v>
      </c>
      <c r="AT166" s="14">
        <f>IF(AR166&gt;=AS166,1,0)</f>
        <v>0</v>
      </c>
      <c r="AU166" s="20">
        <f>SUM(I166,N166,AB166,AD166,AK166,AN166,AQ166,AT166,F166,W166)</f>
        <v>2</v>
      </c>
    </row>
    <row r="167" spans="1:47" customFormat="1" ht="15.6" x14ac:dyDescent="0.3">
      <c r="A167" s="11">
        <v>166</v>
      </c>
      <c r="B167" s="22" t="s">
        <v>213</v>
      </c>
      <c r="C167" s="23">
        <v>102784.08</v>
      </c>
      <c r="D167" s="24">
        <v>26.91</v>
      </c>
      <c r="E167" s="24">
        <v>21.73</v>
      </c>
      <c r="F167" s="14">
        <f>IF(OR(D167&gt;=E167,D167=0),0,1)</f>
        <v>0</v>
      </c>
      <c r="G167" s="24">
        <v>2.1800000000000002</v>
      </c>
      <c r="H167" s="24">
        <v>-1.66</v>
      </c>
      <c r="I167" s="14">
        <f>IF(AND(H167&lt;=1,H167&gt;0),1,0)</f>
        <v>0</v>
      </c>
      <c r="J167" s="24">
        <v>2845.68</v>
      </c>
      <c r="K167" s="24">
        <v>5943.32</v>
      </c>
      <c r="L167" s="24">
        <v>7.1</v>
      </c>
      <c r="M167" s="24">
        <v>11.65</v>
      </c>
      <c r="N167" s="14">
        <f>IF(AND(J167&gt;K167,L167&gt;=M167),1,0)</f>
        <v>0</v>
      </c>
      <c r="O167" s="15">
        <v>1494</v>
      </c>
      <c r="P167" s="15">
        <v>-339.4</v>
      </c>
      <c r="Q167" s="15">
        <v>950.5</v>
      </c>
      <c r="R167" s="15">
        <v>860.9</v>
      </c>
      <c r="S167" s="15">
        <v>1340.2</v>
      </c>
      <c r="T167" s="15">
        <v>935.4</v>
      </c>
      <c r="U167" s="15">
        <v>1928.3</v>
      </c>
      <c r="V167" s="15">
        <v>1387.8</v>
      </c>
      <c r="W167" s="14">
        <f>IF(AND(O167&gt;S167,P167&gt;T167,Q167&gt;U167,R167&gt;V167),1,0)</f>
        <v>0</v>
      </c>
      <c r="X167" s="24">
        <v>10823.96</v>
      </c>
      <c r="Y167" s="24">
        <v>6008.35</v>
      </c>
      <c r="Z167" s="24">
        <v>22.34</v>
      </c>
      <c r="AA167" s="24">
        <v>11.93</v>
      </c>
      <c r="AB167" s="14">
        <f>IF(AND(X167&gt;Y167,Z167&gt;=AA167,X167&gt;0),1,0)</f>
        <v>1</v>
      </c>
      <c r="AC167" s="12" t="str">
        <f>IF(X167&gt;J167,"Yes","No")</f>
        <v>Yes</v>
      </c>
      <c r="AD167" s="14">
        <f>IF(X167&gt;J167,1,0)</f>
        <v>1</v>
      </c>
      <c r="AE167" s="26">
        <v>17545.5</v>
      </c>
      <c r="AF167" s="26">
        <v>16515.2</v>
      </c>
      <c r="AG167" s="17">
        <f>AE167/AF167</f>
        <v>1.0623849544661887</v>
      </c>
      <c r="AH167" s="26">
        <v>17748.3</v>
      </c>
      <c r="AI167" s="26">
        <v>16009.6</v>
      </c>
      <c r="AJ167" s="17">
        <f>AH167/AI167</f>
        <v>1.1086035878472915</v>
      </c>
      <c r="AK167" s="18">
        <f>IF(AG167&gt;=AJ167,1,0)</f>
        <v>0</v>
      </c>
      <c r="AL167" s="28">
        <v>0.3</v>
      </c>
      <c r="AM167" s="28">
        <v>0.23</v>
      </c>
      <c r="AN167" s="18">
        <f>IF(AL167&lt;=AM167,1,0)</f>
        <v>0</v>
      </c>
      <c r="AO167" s="28">
        <v>0.6</v>
      </c>
      <c r="AP167" s="28">
        <v>0.68</v>
      </c>
      <c r="AQ167" s="18">
        <f>IF(AO167&gt;AP167,1,0)</f>
        <v>0</v>
      </c>
      <c r="AR167" s="28">
        <v>19.010000000000002</v>
      </c>
      <c r="AS167" s="28">
        <v>20.329999999999998</v>
      </c>
      <c r="AT167" s="14">
        <f>IF(AR167&gt;=AS167,1,0)</f>
        <v>0</v>
      </c>
      <c r="AU167" s="20">
        <f>SUM(I167,N167,AB167,AD167,AK167,AN167,AQ167,AT167,F167,W167)</f>
        <v>2</v>
      </c>
    </row>
    <row r="168" spans="1:47" customFormat="1" ht="15.6" x14ac:dyDescent="0.3">
      <c r="A168" s="11">
        <v>167</v>
      </c>
      <c r="B168" s="22" t="s">
        <v>214</v>
      </c>
      <c r="C168" s="23">
        <v>94519.32</v>
      </c>
      <c r="D168" s="24">
        <v>46.71</v>
      </c>
      <c r="E168" s="24">
        <v>28.52</v>
      </c>
      <c r="F168" s="14">
        <f>IF(OR(D168&gt;=E168,D168=0),0,1)</f>
        <v>0</v>
      </c>
      <c r="G168" s="24">
        <v>3.25</v>
      </c>
      <c r="H168" s="24">
        <v>26.24</v>
      </c>
      <c r="I168" s="14">
        <f>IF(AND(H168&lt;=1,H168&gt;0),1,0)</f>
        <v>0</v>
      </c>
      <c r="J168" s="24">
        <v>1982.88</v>
      </c>
      <c r="K168" s="24">
        <v>1724.65</v>
      </c>
      <c r="L168" s="24">
        <v>15.45</v>
      </c>
      <c r="M168" s="24">
        <v>14.45</v>
      </c>
      <c r="N168" s="14">
        <f>IF(AND(J168&gt;K168,L168&gt;=M168),1,0)</f>
        <v>1</v>
      </c>
      <c r="O168" s="15">
        <v>743.1</v>
      </c>
      <c r="P168" s="15">
        <v>408.1</v>
      </c>
      <c r="Q168" s="15">
        <v>167.8</v>
      </c>
      <c r="R168" s="15">
        <v>853.3</v>
      </c>
      <c r="S168" s="15">
        <v>521.79999999999995</v>
      </c>
      <c r="T168" s="15">
        <v>351.3</v>
      </c>
      <c r="U168" s="15">
        <v>231.3</v>
      </c>
      <c r="V168" s="15">
        <v>850.2</v>
      </c>
      <c r="W168" s="14">
        <f>IF(AND(O168&gt;S168,P168&gt;T168,Q168&gt;U168,R168&gt;V168),1,0)</f>
        <v>0</v>
      </c>
      <c r="X168" s="24">
        <v>3838.48</v>
      </c>
      <c r="Y168" s="24">
        <v>6233.63</v>
      </c>
      <c r="Z168" s="24">
        <v>24.07</v>
      </c>
      <c r="AA168" s="24">
        <v>54.27</v>
      </c>
      <c r="AB168" s="14">
        <f>IF(AND(X168&gt;Y168,Z168&gt;=AA168,X168&gt;0),1,0)</f>
        <v>0</v>
      </c>
      <c r="AC168" s="12" t="str">
        <f>IF(X168&gt;J168,"Yes","No")</f>
        <v>Yes</v>
      </c>
      <c r="AD168" s="14">
        <f>IF(X168&gt;J168,1,0)</f>
        <v>1</v>
      </c>
      <c r="AE168" s="26">
        <v>12075.8</v>
      </c>
      <c r="AF168" s="26">
        <v>11715.4</v>
      </c>
      <c r="AG168" s="17">
        <f>AE168/AF168</f>
        <v>1.0307629274288543</v>
      </c>
      <c r="AH168" s="26">
        <v>8664.7999999999993</v>
      </c>
      <c r="AI168" s="26">
        <v>7269.4</v>
      </c>
      <c r="AJ168" s="17">
        <f>AH168/AI168</f>
        <v>1.191955319558698</v>
      </c>
      <c r="AK168" s="18">
        <f>IF(AG168&gt;=AJ168,1,0)</f>
        <v>0</v>
      </c>
      <c r="AL168" s="28">
        <v>1.64</v>
      </c>
      <c r="AM168" s="28">
        <v>1.33</v>
      </c>
      <c r="AN168" s="18">
        <f>IF(AL168&lt;=AM168,1,0)</f>
        <v>0</v>
      </c>
      <c r="AO168" s="28">
        <v>0.16</v>
      </c>
      <c r="AP168" s="28">
        <v>0.21</v>
      </c>
      <c r="AQ168" s="18">
        <f>IF(AO168&gt;AP168,1,0)</f>
        <v>0</v>
      </c>
      <c r="AR168" s="28">
        <v>41.31</v>
      </c>
      <c r="AS168" s="28">
        <v>45.07</v>
      </c>
      <c r="AT168" s="14">
        <f>IF(AR168&gt;=AS168,1,0)</f>
        <v>0</v>
      </c>
      <c r="AU168" s="20">
        <f>SUM(I168,N168,AB168,AD168,AK168,AN168,AQ168,AT168,F168,W168)</f>
        <v>2</v>
      </c>
    </row>
    <row r="169" spans="1:47" customFormat="1" ht="15.6" x14ac:dyDescent="0.3">
      <c r="A169" s="11">
        <v>168</v>
      </c>
      <c r="B169" s="22" t="s">
        <v>215</v>
      </c>
      <c r="C169" s="23">
        <v>87130.63</v>
      </c>
      <c r="D169" s="24">
        <v>28.57</v>
      </c>
      <c r="E169" s="24">
        <v>28.52</v>
      </c>
      <c r="F169" s="14">
        <f>IF(OR(D169&gt;=E169,D169=0),0,1)</f>
        <v>0</v>
      </c>
      <c r="G169" s="24">
        <v>2.2000000000000002</v>
      </c>
      <c r="H169" s="24">
        <v>-4.79</v>
      </c>
      <c r="I169" s="14">
        <f>IF(AND(H169&lt;=1,H169&gt;0),1,0)</f>
        <v>0</v>
      </c>
      <c r="J169" s="24">
        <v>3411.73</v>
      </c>
      <c r="K169" s="24">
        <v>3999.54</v>
      </c>
      <c r="L169" s="24">
        <v>32.26</v>
      </c>
      <c r="M169" s="24">
        <v>40.86</v>
      </c>
      <c r="N169" s="14">
        <f>IF(AND(J169&gt;K169,L169&gt;=M169),1,0)</f>
        <v>0</v>
      </c>
      <c r="O169" s="15">
        <v>853.6</v>
      </c>
      <c r="P169" s="15">
        <v>231.2</v>
      </c>
      <c r="Q169" s="15">
        <v>909</v>
      </c>
      <c r="R169" s="15">
        <v>1028.5999999999999</v>
      </c>
      <c r="S169" s="15">
        <v>549.79999999999995</v>
      </c>
      <c r="T169" s="15">
        <v>491.9</v>
      </c>
      <c r="U169" s="15">
        <v>1545.9</v>
      </c>
      <c r="V169" s="15">
        <v>1036.9000000000001</v>
      </c>
      <c r="W169" s="14">
        <f>IF(AND(O169&gt;S169,P169&gt;T169,Q169&gt;U169,R169&gt;V169),1,0)</f>
        <v>0</v>
      </c>
      <c r="X169" s="24">
        <v>5026.1899999999996</v>
      </c>
      <c r="Y169" s="24">
        <v>7252.14</v>
      </c>
      <c r="Z169" s="24">
        <v>46.11</v>
      </c>
      <c r="AA169" s="24">
        <v>75.3</v>
      </c>
      <c r="AB169" s="14">
        <f>IF(AND(X169&gt;Y169,Z169&gt;=AA169,X169&gt;0),1,0)</f>
        <v>0</v>
      </c>
      <c r="AC169" s="12" t="str">
        <f>IF(X169&gt;J169,"Yes","No")</f>
        <v>Yes</v>
      </c>
      <c r="AD169" s="14">
        <f>IF(X169&gt;J169,1,0)</f>
        <v>1</v>
      </c>
      <c r="AE169" s="26">
        <v>18467.2</v>
      </c>
      <c r="AF169" s="26">
        <v>11390.8</v>
      </c>
      <c r="AG169" s="17">
        <f>AE169/AF169</f>
        <v>1.6212381922253047</v>
      </c>
      <c r="AH169" s="26">
        <v>17964.8</v>
      </c>
      <c r="AI169" s="26">
        <v>10960.3</v>
      </c>
      <c r="AJ169" s="17">
        <f>AH169/AI169</f>
        <v>1.6390792222840616</v>
      </c>
      <c r="AK169" s="18">
        <f>IF(AG169&gt;=AJ169,1,0)</f>
        <v>0</v>
      </c>
      <c r="AL169" s="28">
        <v>0.9</v>
      </c>
      <c r="AM169" s="28">
        <v>0.76</v>
      </c>
      <c r="AN169" s="18">
        <f>IF(AL169&lt;=AM169,1,0)</f>
        <v>0</v>
      </c>
      <c r="AO169" s="28">
        <v>0.11</v>
      </c>
      <c r="AP169" s="28">
        <v>0.11</v>
      </c>
      <c r="AQ169" s="18">
        <f>IF(AO169&gt;AP169,1,0)</f>
        <v>0</v>
      </c>
      <c r="AR169" s="28">
        <v>47.06</v>
      </c>
      <c r="AS169" s="28">
        <v>44.28</v>
      </c>
      <c r="AT169" s="14">
        <f>IF(AR169&gt;=AS169,1,0)</f>
        <v>1</v>
      </c>
      <c r="AU169" s="20">
        <f>SUM(I169,N169,AB169,AD169,AK169,AN169,AQ169,AT169,F169,W169)</f>
        <v>2</v>
      </c>
    </row>
    <row r="170" spans="1:47" customFormat="1" ht="15.6" x14ac:dyDescent="0.3">
      <c r="A170" s="11">
        <v>169</v>
      </c>
      <c r="B170" s="22" t="s">
        <v>216</v>
      </c>
      <c r="C170" s="23">
        <v>86129.71</v>
      </c>
      <c r="D170" s="24">
        <v>83.24</v>
      </c>
      <c r="E170" s="24">
        <v>27.47</v>
      </c>
      <c r="F170" s="14">
        <f>IF(OR(D170&gt;=E170,D170=0),0,1)</f>
        <v>0</v>
      </c>
      <c r="G170" s="24">
        <v>2.4700000000000002</v>
      </c>
      <c r="H170" s="24">
        <v>-1.79</v>
      </c>
      <c r="I170" s="14">
        <f>IF(AND(H170&lt;=1,H170&gt;0),1,0)</f>
        <v>0</v>
      </c>
      <c r="J170" s="24">
        <v>1309.9000000000001</v>
      </c>
      <c r="K170" s="24">
        <v>594.55999999999995</v>
      </c>
      <c r="L170" s="24">
        <v>18.09</v>
      </c>
      <c r="M170" s="24">
        <v>21.68</v>
      </c>
      <c r="N170" s="14">
        <f>IF(AND(J170&gt;K170,L170&gt;=M170),1,0)</f>
        <v>0</v>
      </c>
      <c r="O170" s="15">
        <v>463.4</v>
      </c>
      <c r="P170" s="15">
        <v>242.6</v>
      </c>
      <c r="Q170" s="15">
        <v>23.3</v>
      </c>
      <c r="R170" s="15">
        <v>232.9</v>
      </c>
      <c r="S170" s="15">
        <v>60.4</v>
      </c>
      <c r="T170" s="15">
        <v>151.1</v>
      </c>
      <c r="U170" s="15">
        <v>205.1</v>
      </c>
      <c r="V170" s="15">
        <v>158.6</v>
      </c>
      <c r="W170" s="14">
        <f>IF(AND(O170&gt;S170,P170&gt;T170,Q170&gt;U170,R170&gt;V170),1,0)</f>
        <v>0</v>
      </c>
      <c r="X170" s="24">
        <v>875.84</v>
      </c>
      <c r="Y170" s="24">
        <v>702.3</v>
      </c>
      <c r="Z170" s="24">
        <v>29.55</v>
      </c>
      <c r="AA170" s="24">
        <v>27.69</v>
      </c>
      <c r="AB170" s="14">
        <f>IF(AND(X170&gt;Y170,Z170&gt;=AA170,X170&gt;0),1,0)</f>
        <v>1</v>
      </c>
      <c r="AC170" s="12" t="str">
        <f>IF(X170&gt;J170,"Yes","No")</f>
        <v>No</v>
      </c>
      <c r="AD170" s="14">
        <f>IF(X170&gt;J170,1,0)</f>
        <v>0</v>
      </c>
      <c r="AE170" s="26">
        <v>4447.1000000000004</v>
      </c>
      <c r="AF170" s="27">
        <v>1731</v>
      </c>
      <c r="AG170" s="17">
        <f>AE170/AF170</f>
        <v>2.569093009820913</v>
      </c>
      <c r="AH170" s="26">
        <v>4336.2</v>
      </c>
      <c r="AI170" s="26">
        <v>1495.6</v>
      </c>
      <c r="AJ170" s="17">
        <f>AH170/AI170</f>
        <v>2.89930462690559</v>
      </c>
      <c r="AK170" s="18">
        <f>IF(AG170&gt;=AJ170,1,0)</f>
        <v>0</v>
      </c>
      <c r="AL170" s="28">
        <v>0</v>
      </c>
      <c r="AM170" s="28">
        <v>0</v>
      </c>
      <c r="AN170" s="18">
        <f>IF(AL170&lt;=AM170,1,0)</f>
        <v>1</v>
      </c>
      <c r="AO170" s="28">
        <v>7.0000000000000007E-2</v>
      </c>
      <c r="AP170" s="28">
        <v>0.1</v>
      </c>
      <c r="AQ170" s="18">
        <f>IF(AO170&gt;AP170,1,0)</f>
        <v>0</v>
      </c>
      <c r="AR170" s="28">
        <v>25.1</v>
      </c>
      <c r="AS170" s="28">
        <v>28.11</v>
      </c>
      <c r="AT170" s="14">
        <f>IF(AR170&gt;=AS170,1,0)</f>
        <v>0</v>
      </c>
      <c r="AU170" s="20">
        <f>SUM(I170,N170,AB170,AD170,AK170,AN170,AQ170,AT170,F170,W170)</f>
        <v>2</v>
      </c>
    </row>
    <row r="171" spans="1:47" customFormat="1" ht="15.6" x14ac:dyDescent="0.3">
      <c r="A171" s="11">
        <v>170</v>
      </c>
      <c r="B171" s="22" t="s">
        <v>217</v>
      </c>
      <c r="C171" s="23">
        <v>82144.52</v>
      </c>
      <c r="D171" s="24"/>
      <c r="E171" s="24">
        <v>42.23</v>
      </c>
      <c r="F171" s="14">
        <f>IF(OR(D171&gt;=E171,D171=0),0,1)</f>
        <v>0</v>
      </c>
      <c r="G171" s="24">
        <v>5.46</v>
      </c>
      <c r="H171" s="24"/>
      <c r="I171" s="14">
        <f>IF(AND(H171&lt;=1,H171&gt;0),1,0)</f>
        <v>0</v>
      </c>
      <c r="J171" s="24">
        <v>-663.2</v>
      </c>
      <c r="K171" s="24">
        <v>-1422.4</v>
      </c>
      <c r="L171" s="24">
        <v>-21.27</v>
      </c>
      <c r="M171" s="24">
        <v>-12.01</v>
      </c>
      <c r="N171" s="14">
        <f>IF(AND(J171&gt;K171,L171&gt;=M171),1,0)</f>
        <v>0</v>
      </c>
      <c r="O171" s="15">
        <v>-539.79999999999995</v>
      </c>
      <c r="P171" s="15">
        <v>-208.3</v>
      </c>
      <c r="Q171" s="15">
        <v>928.3</v>
      </c>
      <c r="R171" s="15">
        <v>-838.9</v>
      </c>
      <c r="S171" s="15">
        <v>-549.6</v>
      </c>
      <c r="T171" s="15">
        <v>-219.8</v>
      </c>
      <c r="U171" s="15">
        <v>-290.5</v>
      </c>
      <c r="V171" s="15">
        <v>-357</v>
      </c>
      <c r="W171" s="14">
        <f>IF(AND(O171&gt;S171,P171&gt;T171,Q171&gt;U171,R171&gt;V171),1,0)</f>
        <v>0</v>
      </c>
      <c r="X171" s="24">
        <v>-121.3</v>
      </c>
      <c r="Y171" s="24">
        <v>650.79999999999995</v>
      </c>
      <c r="Z171" s="24">
        <v>-1.66</v>
      </c>
      <c r="AA171" s="24">
        <v>6.52</v>
      </c>
      <c r="AB171" s="14">
        <f>IF(AND(X171&gt;Y171,Z171&gt;=AA171,X171&gt;0),1,0)</f>
        <v>0</v>
      </c>
      <c r="AC171" s="12" t="str">
        <f>IF(X171&gt;J171,"Yes","No")</f>
        <v>Yes</v>
      </c>
      <c r="AD171" s="14">
        <f>IF(X171&gt;J171,1,0)</f>
        <v>1</v>
      </c>
      <c r="AE171" s="26">
        <v>17084.5</v>
      </c>
      <c r="AF171" s="26">
        <v>6186.4</v>
      </c>
      <c r="AG171" s="17">
        <f>AE171/AF171</f>
        <v>2.7616222682012159</v>
      </c>
      <c r="AH171" s="26">
        <v>12163.7</v>
      </c>
      <c r="AI171" s="26">
        <v>3515.3</v>
      </c>
      <c r="AJ171" s="17">
        <f>AH171/AI171</f>
        <v>3.4602167667055443</v>
      </c>
      <c r="AK171" s="18">
        <f>IF(AG171&gt;=AJ171,1,0)</f>
        <v>0</v>
      </c>
      <c r="AL171" s="28">
        <v>0</v>
      </c>
      <c r="AM171" s="28">
        <v>0</v>
      </c>
      <c r="AN171" s="18">
        <f>IF(AL171&lt;=AM171,1,0)</f>
        <v>1</v>
      </c>
      <c r="AO171" s="28">
        <v>0.36</v>
      </c>
      <c r="AP171" s="28">
        <v>0.56999999999999995</v>
      </c>
      <c r="AQ171" s="18">
        <f>IF(AO171&gt;AP171,1,0)</f>
        <v>0</v>
      </c>
      <c r="AR171" s="28">
        <v>-19.760000000000002</v>
      </c>
      <c r="AS171" s="28">
        <v>-10.77</v>
      </c>
      <c r="AT171" s="14">
        <f>IF(AR171&gt;=AS171,1,0)</f>
        <v>0</v>
      </c>
      <c r="AU171" s="20">
        <f>SUM(I171,N171,AB171,AD171,AK171,AN171,AQ171,AT171,F171,W171)</f>
        <v>2</v>
      </c>
    </row>
    <row r="172" spans="1:47" customFormat="1" ht="15.6" x14ac:dyDescent="0.3">
      <c r="A172" s="11">
        <v>171</v>
      </c>
      <c r="B172" s="22" t="s">
        <v>218</v>
      </c>
      <c r="C172" s="23">
        <v>69149.69</v>
      </c>
      <c r="D172" s="24">
        <v>58.01</v>
      </c>
      <c r="E172" s="24">
        <v>21.76</v>
      </c>
      <c r="F172" s="14">
        <f>IF(OR(D172&gt;=E172,D172=0),0,1)</f>
        <v>0</v>
      </c>
      <c r="G172" s="24">
        <v>7.23</v>
      </c>
      <c r="H172" s="24">
        <v>11.84</v>
      </c>
      <c r="I172" s="14">
        <f>IF(AND(H172&lt;=1,H172&gt;0),1,0)</f>
        <v>0</v>
      </c>
      <c r="J172" s="24">
        <v>1281.52</v>
      </c>
      <c r="K172" s="24">
        <v>1550.86</v>
      </c>
      <c r="L172" s="24">
        <v>6.43</v>
      </c>
      <c r="M172" s="24">
        <v>7.09</v>
      </c>
      <c r="N172" s="14">
        <f>IF(AND(J172&gt;K172,L172&gt;=M172),1,0)</f>
        <v>0</v>
      </c>
      <c r="O172" s="15">
        <v>459.2</v>
      </c>
      <c r="P172" s="15">
        <v>311.39999999999998</v>
      </c>
      <c r="Q172" s="15">
        <v>286.89999999999998</v>
      </c>
      <c r="R172" s="15">
        <v>223.9</v>
      </c>
      <c r="S172" s="15">
        <v>478.6</v>
      </c>
      <c r="T172" s="15">
        <v>358.6</v>
      </c>
      <c r="U172" s="15">
        <v>394.3</v>
      </c>
      <c r="V172" s="15">
        <v>342.9</v>
      </c>
      <c r="W172" s="14">
        <f>IF(AND(O172&gt;S172,P172&gt;T172,Q172&gt;U172,R172&gt;V172),1,0)</f>
        <v>0</v>
      </c>
      <c r="X172" s="24">
        <v>1878.19</v>
      </c>
      <c r="Y172" s="24">
        <v>2955.85</v>
      </c>
      <c r="Z172" s="24">
        <v>9.51</v>
      </c>
      <c r="AA172" s="24">
        <v>13.51</v>
      </c>
      <c r="AB172" s="14">
        <f>IF(AND(X172&gt;Y172,Z172&gt;=AA172,X172&gt;0),1,0)</f>
        <v>0</v>
      </c>
      <c r="AC172" s="12" t="str">
        <f>IF(X172&gt;J172,"Yes","No")</f>
        <v>Yes</v>
      </c>
      <c r="AD172" s="14">
        <f>IF(X172&gt;J172,1,0)</f>
        <v>1</v>
      </c>
      <c r="AE172" s="26">
        <v>11667.3</v>
      </c>
      <c r="AF172" s="26">
        <v>5652.2</v>
      </c>
      <c r="AG172" s="17">
        <f>AE172/AF172</f>
        <v>2.0642050882842078</v>
      </c>
      <c r="AH172" s="26">
        <v>9745.7999999999993</v>
      </c>
      <c r="AI172" s="26">
        <v>4579.3</v>
      </c>
      <c r="AJ172" s="17">
        <f>AH172/AI172</f>
        <v>2.1282292053370599</v>
      </c>
      <c r="AK172" s="18">
        <f>IF(AG172&gt;=AJ172,1,0)</f>
        <v>0</v>
      </c>
      <c r="AL172" s="28">
        <v>0.51</v>
      </c>
      <c r="AM172" s="28">
        <v>0.63</v>
      </c>
      <c r="AN172" s="18">
        <f>IF(AL172&lt;=AM172,1,0)</f>
        <v>1</v>
      </c>
      <c r="AO172" s="28">
        <v>0.99</v>
      </c>
      <c r="AP172" s="28">
        <v>1.1499999999999999</v>
      </c>
      <c r="AQ172" s="18">
        <f>IF(AO172&gt;AP172,1,0)</f>
        <v>0</v>
      </c>
      <c r="AR172" s="28">
        <v>5.38</v>
      </c>
      <c r="AS172" s="28">
        <v>5.86</v>
      </c>
      <c r="AT172" s="14">
        <f>IF(AR172&gt;=AS172,1,0)</f>
        <v>0</v>
      </c>
      <c r="AU172" s="20">
        <f>SUM(I172,N172,AB172,AD172,AK172,AN172,AQ172,AT172,F172,W172)</f>
        <v>2</v>
      </c>
    </row>
    <row r="173" spans="1:47" customFormat="1" ht="15.6" x14ac:dyDescent="0.3">
      <c r="A173" s="11">
        <v>172</v>
      </c>
      <c r="B173" s="22" t="s">
        <v>219</v>
      </c>
      <c r="C173" s="23">
        <v>68166.23</v>
      </c>
      <c r="D173" s="24">
        <v>105.23</v>
      </c>
      <c r="E173" s="24">
        <v>19.45</v>
      </c>
      <c r="F173" s="14">
        <f>IF(OR(D173&gt;=E173,D173=0),0,1)</f>
        <v>0</v>
      </c>
      <c r="G173" s="24">
        <v>16.2</v>
      </c>
      <c r="H173" s="24">
        <v>12.03</v>
      </c>
      <c r="I173" s="14">
        <f>IF(AND(H173&lt;=1,H173&gt;0),1,0)</f>
        <v>0</v>
      </c>
      <c r="J173" s="24">
        <v>654.41</v>
      </c>
      <c r="K173" s="24">
        <v>667.5</v>
      </c>
      <c r="L173" s="24">
        <v>13.1</v>
      </c>
      <c r="M173" s="24">
        <v>14.91</v>
      </c>
      <c r="N173" s="14">
        <f>IF(AND(J173&gt;K173,L173&gt;=M173),1,0)</f>
        <v>0</v>
      </c>
      <c r="O173" s="15">
        <v>165.2</v>
      </c>
      <c r="P173" s="15">
        <v>154.6</v>
      </c>
      <c r="Q173" s="15">
        <v>142.4</v>
      </c>
      <c r="R173" s="15">
        <v>185.6</v>
      </c>
      <c r="S173" s="15">
        <v>171.8</v>
      </c>
      <c r="T173" s="15">
        <v>168</v>
      </c>
      <c r="U173" s="15">
        <v>176.6</v>
      </c>
      <c r="V173" s="15">
        <v>172.7</v>
      </c>
      <c r="W173" s="14">
        <f>IF(AND(O173&gt;S173,P173&gt;T173,Q173&gt;U173,R173&gt;V173),1,0)</f>
        <v>0</v>
      </c>
      <c r="X173" s="24">
        <v>963.87</v>
      </c>
      <c r="Y173" s="24">
        <v>955.13</v>
      </c>
      <c r="Z173" s="24">
        <v>18.420000000000002</v>
      </c>
      <c r="AA173" s="24">
        <v>21.34</v>
      </c>
      <c r="AB173" s="14">
        <f>IF(AND(X173&gt;Y173,Z173&gt;=AA173,X173&gt;0),1,0)</f>
        <v>0</v>
      </c>
      <c r="AC173" s="12" t="str">
        <f>IF(X173&gt;J173,"Yes","No")</f>
        <v>Yes</v>
      </c>
      <c r="AD173" s="14">
        <f>IF(X173&gt;J173,1,0)</f>
        <v>1</v>
      </c>
      <c r="AE173" s="26">
        <v>1120.9000000000001</v>
      </c>
      <c r="AF173" s="26">
        <v>1538.2</v>
      </c>
      <c r="AG173" s="17">
        <f>AE173/AF173</f>
        <v>0.72870888050968663</v>
      </c>
      <c r="AH173" s="26">
        <v>1032.2</v>
      </c>
      <c r="AI173" s="26">
        <v>1810.5</v>
      </c>
      <c r="AJ173" s="17">
        <f>AH173/AI173</f>
        <v>0.57011875172604254</v>
      </c>
      <c r="AK173" s="18">
        <f>IF(AG173&gt;=AJ173,1,0)</f>
        <v>1</v>
      </c>
      <c r="AL173" s="28">
        <v>0.37</v>
      </c>
      <c r="AM173" s="28">
        <v>0.25</v>
      </c>
      <c r="AN173" s="18">
        <f>IF(AL173&lt;=AM173,1,0)</f>
        <v>0</v>
      </c>
      <c r="AO173" s="28">
        <v>0.7</v>
      </c>
      <c r="AP173" s="28">
        <v>0.73</v>
      </c>
      <c r="AQ173" s="18">
        <f>IF(AO173&gt;AP173,1,0)</f>
        <v>0</v>
      </c>
      <c r="AR173" s="28">
        <v>22.53</v>
      </c>
      <c r="AS173" s="28">
        <v>24.43</v>
      </c>
      <c r="AT173" s="14">
        <f>IF(AR173&gt;=AS173,1,0)</f>
        <v>0</v>
      </c>
      <c r="AU173" s="20">
        <f>SUM(I173,N173,AB173,AD173,AK173,AN173,AQ173,AT173,F173,W173)</f>
        <v>2</v>
      </c>
    </row>
    <row r="174" spans="1:47" customFormat="1" ht="15.6" x14ac:dyDescent="0.3">
      <c r="A174" s="11">
        <v>173</v>
      </c>
      <c r="B174" s="22" t="s">
        <v>220</v>
      </c>
      <c r="C174" s="23">
        <v>65261.05</v>
      </c>
      <c r="D174" s="24">
        <v>25.33</v>
      </c>
      <c r="E174" s="24">
        <v>21.73</v>
      </c>
      <c r="F174" s="14">
        <f>IF(OR(D174&gt;=E174,D174=0),0,1)</f>
        <v>0</v>
      </c>
      <c r="G174" s="24">
        <v>3.91</v>
      </c>
      <c r="H174" s="24">
        <v>-3.83</v>
      </c>
      <c r="I174" s="14">
        <f>IF(AND(H174&lt;=1,H174&gt;0),1,0)</f>
        <v>0</v>
      </c>
      <c r="J174" s="24">
        <v>2499.7199999999998</v>
      </c>
      <c r="K174" s="24">
        <v>2693.48</v>
      </c>
      <c r="L174" s="24">
        <v>6.36</v>
      </c>
      <c r="M174" s="24">
        <v>6.78</v>
      </c>
      <c r="N174" s="14">
        <f>IF(AND(J174&gt;K174,L174&gt;=M174),1,0)</f>
        <v>0</v>
      </c>
      <c r="O174" s="15">
        <v>591</v>
      </c>
      <c r="P174" s="15">
        <v>654.79999999999995</v>
      </c>
      <c r="Q174" s="15">
        <v>611.29999999999995</v>
      </c>
      <c r="R174" s="15">
        <v>648.1</v>
      </c>
      <c r="S174" s="15">
        <v>500.7</v>
      </c>
      <c r="T174" s="15">
        <v>692.3</v>
      </c>
      <c r="U174" s="15">
        <v>774.3</v>
      </c>
      <c r="V174" s="15">
        <v>745.8</v>
      </c>
      <c r="W174" s="14">
        <f>IF(AND(O174&gt;S174,P174&gt;T174,Q174&gt;U174,R174&gt;V174),1,0)</f>
        <v>0</v>
      </c>
      <c r="X174" s="24">
        <v>4718.3599999999997</v>
      </c>
      <c r="Y174" s="24">
        <v>4818.13</v>
      </c>
      <c r="Z174" s="24">
        <v>11.77</v>
      </c>
      <c r="AA174" s="24">
        <v>12.49</v>
      </c>
      <c r="AB174" s="14">
        <f>IF(AND(X174&gt;Y174,Z174&gt;=AA174,X174&gt;0),1,0)</f>
        <v>0</v>
      </c>
      <c r="AC174" s="12" t="str">
        <f>IF(X174&gt;J174,"Yes","No")</f>
        <v>Yes</v>
      </c>
      <c r="AD174" s="14">
        <f>IF(X174&gt;J174,1,0)</f>
        <v>1</v>
      </c>
      <c r="AE174" s="26">
        <v>16798.3</v>
      </c>
      <c r="AF174" s="26">
        <v>13242.8</v>
      </c>
      <c r="AG174" s="17">
        <f>AE174/AF174</f>
        <v>1.2684855166581086</v>
      </c>
      <c r="AH174" s="26">
        <v>14782.6</v>
      </c>
      <c r="AI174" s="26">
        <v>10043.9</v>
      </c>
      <c r="AJ174" s="17">
        <f>AH174/AI174</f>
        <v>1.4717988032537164</v>
      </c>
      <c r="AK174" s="18">
        <f>IF(AG174&gt;=AJ174,1,0)</f>
        <v>0</v>
      </c>
      <c r="AL174" s="28">
        <v>0.26</v>
      </c>
      <c r="AM174" s="28">
        <v>0.32</v>
      </c>
      <c r="AN174" s="18">
        <f>IF(AL174&lt;=AM174,1,0)</f>
        <v>1</v>
      </c>
      <c r="AO174" s="28">
        <v>1.17</v>
      </c>
      <c r="AP174" s="28">
        <v>1.33</v>
      </c>
      <c r="AQ174" s="18">
        <f>IF(AO174&gt;AP174,1,0)</f>
        <v>0</v>
      </c>
      <c r="AR174" s="28">
        <v>11.78</v>
      </c>
      <c r="AS174" s="28">
        <v>12.15</v>
      </c>
      <c r="AT174" s="14">
        <f>IF(AR174&gt;=AS174,1,0)</f>
        <v>0</v>
      </c>
      <c r="AU174" s="20">
        <f>SUM(I174,N174,AB174,AD174,AK174,AN174,AQ174,AT174,F174,W174)</f>
        <v>2</v>
      </c>
    </row>
    <row r="175" spans="1:47" customFormat="1" ht="15.6" x14ac:dyDescent="0.3">
      <c r="A175" s="11">
        <v>174</v>
      </c>
      <c r="B175" s="22" t="s">
        <v>221</v>
      </c>
      <c r="C175" s="23">
        <v>63307.77</v>
      </c>
      <c r="D175" s="24">
        <v>31.88</v>
      </c>
      <c r="E175" s="24">
        <v>27.33</v>
      </c>
      <c r="F175" s="14">
        <f>IF(OR(D175&gt;=E175,D175=0),0,1)</f>
        <v>0</v>
      </c>
      <c r="G175" s="24">
        <v>5.7</v>
      </c>
      <c r="H175" s="24">
        <v>7.7</v>
      </c>
      <c r="I175" s="14">
        <f>IF(AND(H175&lt;=1,H175&gt;0),1,0)</f>
        <v>0</v>
      </c>
      <c r="J175" s="24">
        <v>2054.71</v>
      </c>
      <c r="K175" s="24">
        <v>1640.64</v>
      </c>
      <c r="L175" s="24">
        <v>7.14</v>
      </c>
      <c r="M175" s="24">
        <v>7.42</v>
      </c>
      <c r="N175" s="14">
        <f>IF(AND(J175&gt;K175,L175&gt;=M175),1,0)</f>
        <v>0</v>
      </c>
      <c r="O175" s="15">
        <v>505</v>
      </c>
      <c r="P175" s="15">
        <v>579.70000000000005</v>
      </c>
      <c r="Q175" s="15">
        <v>511.8</v>
      </c>
      <c r="R175" s="15">
        <v>664.1</v>
      </c>
      <c r="S175" s="15">
        <v>311</v>
      </c>
      <c r="T175" s="15">
        <v>160.30000000000001</v>
      </c>
      <c r="U175" s="15">
        <v>231</v>
      </c>
      <c r="V175" s="15">
        <v>756.9</v>
      </c>
      <c r="W175" s="14">
        <f>IF(AND(O175&gt;S175,P175&gt;T175,Q175&gt;U175,R175&gt;V175),1,0)</f>
        <v>0</v>
      </c>
      <c r="X175" s="24">
        <v>2463.61</v>
      </c>
      <c r="Y175" s="24">
        <v>1427.69</v>
      </c>
      <c r="Z175" s="24">
        <v>9.33</v>
      </c>
      <c r="AA175" s="24">
        <v>6.47</v>
      </c>
      <c r="AB175" s="14">
        <f>IF(AND(X175&gt;Y175,Z175&gt;=AA175,X175&gt;0),1,0)</f>
        <v>1</v>
      </c>
      <c r="AC175" s="12" t="str">
        <f>IF(X175&gt;J175,"Yes","No")</f>
        <v>Yes</v>
      </c>
      <c r="AD175" s="14">
        <f>IF(X175&gt;J175,1,0)</f>
        <v>1</v>
      </c>
      <c r="AE175" s="26">
        <v>13230.8</v>
      </c>
      <c r="AF175" s="26">
        <v>6990.4</v>
      </c>
      <c r="AG175" s="17">
        <f>AE175/AF175</f>
        <v>1.8927100022888532</v>
      </c>
      <c r="AH175" s="27">
        <v>12123</v>
      </c>
      <c r="AI175" s="26">
        <v>5863.6</v>
      </c>
      <c r="AJ175" s="17">
        <f>AH175/AI175</f>
        <v>2.0675011938058527</v>
      </c>
      <c r="AK175" s="18">
        <f>IF(AG175&gt;=AJ175,1,0)</f>
        <v>0</v>
      </c>
      <c r="AL175" s="28">
        <v>0.01</v>
      </c>
      <c r="AM175" s="28">
        <v>0</v>
      </c>
      <c r="AN175" s="18">
        <f>IF(AL175&lt;=AM175,1,0)</f>
        <v>0</v>
      </c>
      <c r="AO175" s="28">
        <v>1.38</v>
      </c>
      <c r="AP175" s="28">
        <v>1.47</v>
      </c>
      <c r="AQ175" s="18">
        <f>IF(AO175&gt;AP175,1,0)</f>
        <v>0</v>
      </c>
      <c r="AR175" s="28">
        <v>10.75</v>
      </c>
      <c r="AS175" s="28">
        <v>10.76</v>
      </c>
      <c r="AT175" s="14">
        <f>IF(AR175&gt;=AS175,1,0)</f>
        <v>0</v>
      </c>
      <c r="AU175" s="20">
        <f>SUM(I175,N175,AB175,AD175,AK175,AN175,AQ175,AT175,F175,W175)</f>
        <v>2</v>
      </c>
    </row>
    <row r="176" spans="1:47" customFormat="1" ht="15.6" x14ac:dyDescent="0.3">
      <c r="A176" s="11">
        <v>175</v>
      </c>
      <c r="B176" s="22" t="s">
        <v>222</v>
      </c>
      <c r="C176" s="23">
        <v>60606.75</v>
      </c>
      <c r="D176" s="24">
        <v>57.28</v>
      </c>
      <c r="E176" s="24">
        <v>29.34</v>
      </c>
      <c r="F176" s="14">
        <f>IF(OR(D176&gt;=E176,D176=0),0,1)</f>
        <v>0</v>
      </c>
      <c r="G176" s="24">
        <v>11.01</v>
      </c>
      <c r="H176" s="24">
        <v>3.62</v>
      </c>
      <c r="I176" s="14">
        <f>IF(AND(H176&lt;=1,H176&gt;0),1,0)</f>
        <v>0</v>
      </c>
      <c r="J176" s="24">
        <v>977.67</v>
      </c>
      <c r="K176" s="24">
        <v>909.03</v>
      </c>
      <c r="L176" s="24">
        <v>12.1</v>
      </c>
      <c r="M176" s="24">
        <v>12.6</v>
      </c>
      <c r="N176" s="14">
        <f>IF(AND(J176&gt;K176,L176&gt;=M176),1,0)</f>
        <v>0</v>
      </c>
      <c r="O176" s="15">
        <v>251.6</v>
      </c>
      <c r="P176" s="15">
        <v>237.3</v>
      </c>
      <c r="Q176" s="15">
        <v>236.4</v>
      </c>
      <c r="R176" s="15">
        <v>245.5</v>
      </c>
      <c r="S176" s="15">
        <v>219.7</v>
      </c>
      <c r="T176" s="15">
        <v>209.6</v>
      </c>
      <c r="U176" s="15">
        <v>232.8</v>
      </c>
      <c r="V176" s="15" t="s">
        <v>76</v>
      </c>
      <c r="W176" s="14">
        <f>IF(AND(O176&gt;S176,P176&gt;T176,Q176&gt;U176,R176&gt;V176),1,0)</f>
        <v>0</v>
      </c>
      <c r="X176" s="24">
        <v>884.32</v>
      </c>
      <c r="Y176" s="24">
        <v>900.03</v>
      </c>
      <c r="Z176" s="24">
        <v>10.35</v>
      </c>
      <c r="AA176" s="24">
        <v>12.46</v>
      </c>
      <c r="AB176" s="14">
        <f>IF(AND(X176&gt;Y176,Z176&gt;=AA176,X176&gt;0),1,0)</f>
        <v>0</v>
      </c>
      <c r="AC176" s="12" t="str">
        <f>IF(X176&gt;J176,"Yes","No")</f>
        <v>No</v>
      </c>
      <c r="AD176" s="14">
        <f>IF(X176&gt;J176,1,0)</f>
        <v>0</v>
      </c>
      <c r="AE176" s="26">
        <v>4253.7</v>
      </c>
      <c r="AF176" s="27">
        <v>1488</v>
      </c>
      <c r="AG176" s="17">
        <f>AE176/AF176</f>
        <v>2.8586693548387094</v>
      </c>
      <c r="AH176" s="26">
        <v>4106.2</v>
      </c>
      <c r="AI176" s="26">
        <v>1405.2</v>
      </c>
      <c r="AJ176" s="17">
        <f>AH176/AI176</f>
        <v>2.922146313692001</v>
      </c>
      <c r="AK176" s="18">
        <f>IF(AG176&gt;=AJ176,1,0)</f>
        <v>0</v>
      </c>
      <c r="AL176" s="28">
        <v>0</v>
      </c>
      <c r="AM176" s="28">
        <v>0</v>
      </c>
      <c r="AN176" s="18">
        <f>IF(AL176&lt;=AM176,1,0)</f>
        <v>1</v>
      </c>
      <c r="AO176" s="28">
        <v>1.25</v>
      </c>
      <c r="AP176" s="28">
        <v>1.21</v>
      </c>
      <c r="AQ176" s="18">
        <f>IF(AO176&gt;AP176,1,0)</f>
        <v>1</v>
      </c>
      <c r="AR176" s="28">
        <v>17.309999999999999</v>
      </c>
      <c r="AS176" s="28">
        <v>17.91</v>
      </c>
      <c r="AT176" s="14">
        <f>IF(AR176&gt;=AS176,1,0)</f>
        <v>0</v>
      </c>
      <c r="AU176" s="20">
        <f>SUM(I176,N176,AB176,AD176,AK176,AN176,AQ176,AT176,F176,W176)</f>
        <v>2</v>
      </c>
    </row>
    <row r="177" spans="1:47" customFormat="1" ht="15.6" x14ac:dyDescent="0.3">
      <c r="A177" s="11">
        <v>176</v>
      </c>
      <c r="B177" s="22" t="s">
        <v>223</v>
      </c>
      <c r="C177" s="23">
        <v>60570.81</v>
      </c>
      <c r="D177" s="24">
        <v>28.14</v>
      </c>
      <c r="E177" s="24">
        <v>22.82</v>
      </c>
      <c r="F177" s="14">
        <f>IF(OR(D177&gt;=E177,D177=0),0,1)</f>
        <v>0</v>
      </c>
      <c r="G177" s="24">
        <v>3.13</v>
      </c>
      <c r="H177" s="24">
        <v>0.97</v>
      </c>
      <c r="I177" s="14">
        <f>IF(AND(H177&lt;=1,H177&gt;0),1,0)</f>
        <v>1</v>
      </c>
      <c r="J177" s="24">
        <v>2175.92</v>
      </c>
      <c r="K177" s="24">
        <v>2460.84</v>
      </c>
      <c r="L177" s="24">
        <v>13.35</v>
      </c>
      <c r="M177" s="24">
        <v>17.36</v>
      </c>
      <c r="N177" s="14">
        <f>IF(AND(J177&gt;K177,L177&gt;=M177),1,0)</f>
        <v>0</v>
      </c>
      <c r="O177" s="15">
        <v>567.70000000000005</v>
      </c>
      <c r="P177" s="15">
        <v>530.9</v>
      </c>
      <c r="Q177" s="15" t="s">
        <v>76</v>
      </c>
      <c r="R177" s="15" t="s">
        <v>76</v>
      </c>
      <c r="S177" s="15">
        <v>581.70000000000005</v>
      </c>
      <c r="T177" s="15" t="s">
        <v>76</v>
      </c>
      <c r="U177" s="15" t="s">
        <v>76</v>
      </c>
      <c r="V177" s="15" t="s">
        <v>76</v>
      </c>
      <c r="W177" s="14">
        <f>IF(AND(O177&gt;S177,P177&gt;T177,Q177&gt;U177,R177&gt;V177),1,0)</f>
        <v>0</v>
      </c>
      <c r="X177" s="24">
        <v>-13626.33</v>
      </c>
      <c r="Y177" s="24">
        <v>-16736.04</v>
      </c>
      <c r="Z177" s="24">
        <v>-78.22</v>
      </c>
      <c r="AA177" s="24">
        <v>-118.08</v>
      </c>
      <c r="AB177" s="14">
        <f>IF(AND(X177&gt;Y177,Z177&gt;=AA177,X177&gt;0),1,0)</f>
        <v>0</v>
      </c>
      <c r="AC177" s="12" t="str">
        <f>IF(X177&gt;J177,"Yes","No")</f>
        <v>No</v>
      </c>
      <c r="AD177" s="14">
        <f>IF(X177&gt;J177,1,0)</f>
        <v>0</v>
      </c>
      <c r="AE177" s="26">
        <v>106768.3</v>
      </c>
      <c r="AF177" s="26">
        <v>91796.6</v>
      </c>
      <c r="AG177" s="17">
        <f>AE177/AF177</f>
        <v>1.1630964545527829</v>
      </c>
      <c r="AH177" s="26">
        <v>90970.1</v>
      </c>
      <c r="AI177" s="26">
        <v>77799.7</v>
      </c>
      <c r="AJ177" s="17">
        <f>AH177/AI177</f>
        <v>1.16928599981748</v>
      </c>
      <c r="AK177" s="18">
        <f>IF(AG177&gt;=AJ177,1,0)</f>
        <v>0</v>
      </c>
      <c r="AL177" s="28">
        <v>0</v>
      </c>
      <c r="AM177" s="28">
        <v>0</v>
      </c>
      <c r="AN177" s="18">
        <f>IF(AL177&lt;=AM177,1,0)</f>
        <v>1</v>
      </c>
      <c r="AO177" s="28">
        <v>0.16</v>
      </c>
      <c r="AP177" s="28">
        <v>0.17</v>
      </c>
      <c r="AQ177" s="18">
        <f>IF(AO177&gt;AP177,1,0)</f>
        <v>0</v>
      </c>
      <c r="AR177" s="28">
        <v>58.36</v>
      </c>
      <c r="AS177" s="28">
        <v>58.67</v>
      </c>
      <c r="AT177" s="14">
        <f>IF(AR177&gt;=AS177,1,0)</f>
        <v>0</v>
      </c>
      <c r="AU177" s="20">
        <f>SUM(I177,N177,AB177,AD177,AK177,AN177,AQ177,AT177,F177,W177)</f>
        <v>2</v>
      </c>
    </row>
    <row r="178" spans="1:47" customFormat="1" ht="15.6" x14ac:dyDescent="0.3">
      <c r="A178" s="11">
        <v>177</v>
      </c>
      <c r="B178" s="22" t="s">
        <v>224</v>
      </c>
      <c r="C178" s="23">
        <v>58508.61</v>
      </c>
      <c r="D178" s="24"/>
      <c r="E178" s="24">
        <v>12.63</v>
      </c>
      <c r="F178" s="14">
        <f>IF(OR(D178&gt;=E178,D178=0),0,1)</f>
        <v>0</v>
      </c>
      <c r="G178" s="24">
        <v>0.9</v>
      </c>
      <c r="H178" s="24"/>
      <c r="I178" s="14">
        <f>IF(AND(H178&lt;=1,H178&gt;0),1,0)</f>
        <v>0</v>
      </c>
      <c r="J178" s="24">
        <v>2575.5500000000002</v>
      </c>
      <c r="K178" s="24">
        <v>8977.2900000000009</v>
      </c>
      <c r="L178" s="24">
        <v>5.29</v>
      </c>
      <c r="M178" s="24">
        <v>19.63</v>
      </c>
      <c r="N178" s="14">
        <f>IF(AND(J178&gt;K178,L178&gt;=M178),1,0)</f>
        <v>0</v>
      </c>
      <c r="O178" s="15">
        <v>604.1</v>
      </c>
      <c r="P178" s="15">
        <v>-2328.9</v>
      </c>
      <c r="Q178" s="15">
        <v>1402.3</v>
      </c>
      <c r="R178" s="15">
        <v>1331.3</v>
      </c>
      <c r="S178" s="15">
        <v>2170.8000000000002</v>
      </c>
      <c r="T178" s="15">
        <v>2349.1999999999998</v>
      </c>
      <c r="U178" s="15">
        <v>2301.5</v>
      </c>
      <c r="V178" s="15">
        <v>2202.1999999999998</v>
      </c>
      <c r="W178" s="14">
        <f>IF(AND(O178&gt;S178,P178&gt;T178,Q178&gt;U178,R178&gt;V178),1,0)</f>
        <v>0</v>
      </c>
      <c r="X178" s="24">
        <v>18277.79</v>
      </c>
      <c r="Y178" s="24">
        <v>-16924.73</v>
      </c>
      <c r="Z178" s="24">
        <v>38.64</v>
      </c>
      <c r="AA178" s="24">
        <v>-37</v>
      </c>
      <c r="AB178" s="14">
        <f>IF(AND(X178&gt;Y178,Z178&gt;=AA178,X178&gt;0),1,0)</f>
        <v>1</v>
      </c>
      <c r="AC178" s="12" t="str">
        <f>IF(X178&gt;J178,"Yes","No")</f>
        <v>Yes</v>
      </c>
      <c r="AD178" s="14">
        <f>IF(X178&gt;J178,1,0)</f>
        <v>1</v>
      </c>
      <c r="AE178" s="27">
        <v>437154</v>
      </c>
      <c r="AF178" s="26">
        <v>24705.599999999999</v>
      </c>
      <c r="AG178" s="17">
        <f>AE178/AF178</f>
        <v>17.694530794637654</v>
      </c>
      <c r="AH178" s="26">
        <v>406283.5</v>
      </c>
      <c r="AI178" s="26">
        <v>19689.3</v>
      </c>
      <c r="AJ178" s="17">
        <f>AH178/AI178</f>
        <v>20.63473561782288</v>
      </c>
      <c r="AK178" s="18">
        <f>IF(AG178&gt;=AJ178,1,0)</f>
        <v>0</v>
      </c>
      <c r="AL178" s="28">
        <v>0.83</v>
      </c>
      <c r="AM178" s="28">
        <v>0.76</v>
      </c>
      <c r="AN178" s="18">
        <f>IF(AL178&lt;=AM178,1,0)</f>
        <v>0</v>
      </c>
      <c r="AO178" s="28">
        <v>0.09</v>
      </c>
      <c r="AP178" s="28">
        <v>0.09</v>
      </c>
      <c r="AQ178" s="18">
        <f>IF(AO178&gt;AP178,1,0)</f>
        <v>0</v>
      </c>
      <c r="AR178" s="28">
        <v>18.920000000000002</v>
      </c>
      <c r="AS178" s="28">
        <v>28.77</v>
      </c>
      <c r="AT178" s="14">
        <f>IF(AR178&gt;=AS178,1,0)</f>
        <v>0</v>
      </c>
      <c r="AU178" s="20">
        <f>SUM(I178,N178,AB178,AD178,AK178,AN178,AQ178,AT178,F178,W178)</f>
        <v>2</v>
      </c>
    </row>
    <row r="179" spans="1:47" customFormat="1" ht="15.6" x14ac:dyDescent="0.3">
      <c r="A179" s="11">
        <v>178</v>
      </c>
      <c r="B179" s="22" t="s">
        <v>225</v>
      </c>
      <c r="C179" s="23">
        <v>57780.29</v>
      </c>
      <c r="D179" s="24">
        <v>712.98</v>
      </c>
      <c r="E179" s="24">
        <v>27.33</v>
      </c>
      <c r="F179" s="14">
        <f>IF(OR(D179&gt;=E179,D179=0),0,1)</f>
        <v>0</v>
      </c>
      <c r="G179" s="24">
        <v>42.15</v>
      </c>
      <c r="H179" s="24">
        <v>-11.31</v>
      </c>
      <c r="I179" s="14">
        <f>IF(AND(H179&lt;=1,H179&gt;0),1,0)</f>
        <v>0</v>
      </c>
      <c r="J179" s="24">
        <v>41.23</v>
      </c>
      <c r="K179" s="24">
        <v>128.27000000000001</v>
      </c>
      <c r="L179" s="24">
        <v>0.54</v>
      </c>
      <c r="M179" s="24">
        <v>7.35</v>
      </c>
      <c r="N179" s="14">
        <f>IF(AND(J179&gt;K179,L179&gt;=M179),1,0)</f>
        <v>0</v>
      </c>
      <c r="O179" s="15">
        <v>70.7</v>
      </c>
      <c r="P179" s="15">
        <v>8</v>
      </c>
      <c r="Q179" s="15">
        <v>11.2</v>
      </c>
      <c r="R179" s="15">
        <v>-48.7</v>
      </c>
      <c r="S179" s="15">
        <v>-61.2</v>
      </c>
      <c r="T179" s="15">
        <v>30.3</v>
      </c>
      <c r="U179" s="15">
        <v>105.2</v>
      </c>
      <c r="V179" s="15">
        <v>71.8</v>
      </c>
      <c r="W179" s="14">
        <f>IF(AND(O179&gt;S179,P179&gt;T179,Q179&gt;U179,R179&gt;V179),1,0)</f>
        <v>0</v>
      </c>
      <c r="X179" s="24">
        <v>139.97</v>
      </c>
      <c r="Y179" s="24">
        <v>279.99</v>
      </c>
      <c r="Z179" s="24">
        <v>3.11</v>
      </c>
      <c r="AA179" s="24">
        <v>5.54</v>
      </c>
      <c r="AB179" s="14">
        <f>IF(AND(X179&gt;Y179,Z179&gt;=AA179,X179&gt;0),1,0)</f>
        <v>0</v>
      </c>
      <c r="AC179" s="12" t="str">
        <f>IF(X179&gt;J179,"Yes","No")</f>
        <v>Yes</v>
      </c>
      <c r="AD179" s="14">
        <f>IF(X179&gt;J179,1,0)</f>
        <v>1</v>
      </c>
      <c r="AE179" s="26">
        <v>4539.3999999999996</v>
      </c>
      <c r="AF179" s="26">
        <v>4425.8</v>
      </c>
      <c r="AG179" s="17">
        <f>AE179/AF179</f>
        <v>1.025667675900402</v>
      </c>
      <c r="AH179" s="26">
        <v>4488.6000000000004</v>
      </c>
      <c r="AI179" s="26">
        <v>4235.6000000000004</v>
      </c>
      <c r="AJ179" s="17">
        <f>AH179/AI179</f>
        <v>1.0597317971479838</v>
      </c>
      <c r="AK179" s="18">
        <f>IF(AG179&gt;=AJ179,1,0)</f>
        <v>0</v>
      </c>
      <c r="AL179" s="28">
        <v>0</v>
      </c>
      <c r="AM179" s="28">
        <v>0</v>
      </c>
      <c r="AN179" s="18">
        <f>IF(AL179&lt;=AM179,1,0)</f>
        <v>1</v>
      </c>
      <c r="AO179" s="28">
        <v>0.69</v>
      </c>
      <c r="AP179" s="28">
        <v>0.9</v>
      </c>
      <c r="AQ179" s="18">
        <f>IF(AO179&gt;AP179,1,0)</f>
        <v>0</v>
      </c>
      <c r="AR179" s="28">
        <v>2.2200000000000002</v>
      </c>
      <c r="AS179" s="28">
        <v>6.84</v>
      </c>
      <c r="AT179" s="14">
        <f>IF(AR179&gt;=AS179,1,0)</f>
        <v>0</v>
      </c>
      <c r="AU179" s="20">
        <f>SUM(I179,N179,AB179,AD179,AK179,AN179,AQ179,AT179,F179,W179)</f>
        <v>2</v>
      </c>
    </row>
    <row r="180" spans="1:47" customFormat="1" ht="15.6" x14ac:dyDescent="0.3">
      <c r="A180" s="11">
        <v>179</v>
      </c>
      <c r="B180" s="22" t="s">
        <v>226</v>
      </c>
      <c r="C180" s="23">
        <v>56450.63</v>
      </c>
      <c r="D180" s="24">
        <v>100.66</v>
      </c>
      <c r="E180" s="24">
        <v>68.64</v>
      </c>
      <c r="F180" s="14">
        <f>IF(OR(D180&gt;=E180,D180=0),0,1)</f>
        <v>0</v>
      </c>
      <c r="G180" s="24">
        <v>14.08</v>
      </c>
      <c r="H180" s="24">
        <v>61.01</v>
      </c>
      <c r="I180" s="14">
        <f>IF(AND(H180&lt;=1,H180&gt;0),1,0)</f>
        <v>0</v>
      </c>
      <c r="J180" s="24">
        <v>549.65</v>
      </c>
      <c r="K180" s="24">
        <v>612.72</v>
      </c>
      <c r="L180" s="24">
        <v>16.43</v>
      </c>
      <c r="M180" s="24">
        <v>25.86</v>
      </c>
      <c r="N180" s="14">
        <f>IF(AND(J180&gt;K180,L180&gt;=M180),1,0)</f>
        <v>0</v>
      </c>
      <c r="O180" s="15">
        <v>272.8</v>
      </c>
      <c r="P180" s="15">
        <v>147.1</v>
      </c>
      <c r="Q180" s="15">
        <v>122.5</v>
      </c>
      <c r="R180" s="15">
        <v>7.2</v>
      </c>
      <c r="S180" s="15">
        <v>288.8</v>
      </c>
      <c r="T180" s="15">
        <v>135</v>
      </c>
      <c r="U180" s="15">
        <v>147.1</v>
      </c>
      <c r="V180" s="15">
        <v>41.8</v>
      </c>
      <c r="W180" s="14">
        <f>IF(AND(O180&gt;S180,P180&gt;T180,Q180&gt;U180,R180&gt;V180),1,0)</f>
        <v>0</v>
      </c>
      <c r="X180" s="24">
        <v>167.39</v>
      </c>
      <c r="Y180" s="24">
        <v>411.72</v>
      </c>
      <c r="Z180" s="24">
        <v>4.92</v>
      </c>
      <c r="AA180" s="24">
        <v>17.38</v>
      </c>
      <c r="AB180" s="14">
        <f>IF(AND(X180&gt;Y180,Z180&gt;=AA180,X180&gt;0),1,0)</f>
        <v>0</v>
      </c>
      <c r="AC180" s="12" t="str">
        <f>IF(X180&gt;J180,"Yes","No")</f>
        <v>No</v>
      </c>
      <c r="AD180" s="14">
        <f>IF(X180&gt;J180,1,0)</f>
        <v>0</v>
      </c>
      <c r="AE180" s="26">
        <v>10377.9</v>
      </c>
      <c r="AF180" s="26">
        <v>4360.2</v>
      </c>
      <c r="AG180" s="17">
        <f>AE180/AF180</f>
        <v>2.3801431127012522</v>
      </c>
      <c r="AH180" s="27">
        <v>9239</v>
      </c>
      <c r="AI180" s="26">
        <v>3005.8</v>
      </c>
      <c r="AJ180" s="17">
        <f>AH180/AI180</f>
        <v>3.0737241333422047</v>
      </c>
      <c r="AK180" s="18">
        <f>IF(AG180&gt;=AJ180,1,0)</f>
        <v>0</v>
      </c>
      <c r="AL180" s="28">
        <v>0</v>
      </c>
      <c r="AM180" s="28">
        <v>0</v>
      </c>
      <c r="AN180" s="18">
        <f>IF(AL180&lt;=AM180,1,0)</f>
        <v>1</v>
      </c>
      <c r="AO180" s="28">
        <v>0.3</v>
      </c>
      <c r="AP180" s="28">
        <v>0.25</v>
      </c>
      <c r="AQ180" s="18">
        <f>IF(AO180&gt;AP180,1,0)</f>
        <v>1</v>
      </c>
      <c r="AR180" s="28">
        <v>12.78</v>
      </c>
      <c r="AS180" s="28">
        <v>19.649999999999999</v>
      </c>
      <c r="AT180" s="14">
        <f>IF(AR180&gt;=AS180,1,0)</f>
        <v>0</v>
      </c>
      <c r="AU180" s="20">
        <f>SUM(I180,N180,AB180,AD180,AK180,AN180,AQ180,AT180,F180,W180)</f>
        <v>2</v>
      </c>
    </row>
    <row r="181" spans="1:47" customFormat="1" ht="15.6" x14ac:dyDescent="0.3">
      <c r="A181" s="11">
        <v>180</v>
      </c>
      <c r="B181" s="12" t="s">
        <v>227</v>
      </c>
      <c r="C181" s="13">
        <v>364518.13</v>
      </c>
      <c r="D181" s="12">
        <v>49.7</v>
      </c>
      <c r="E181" s="12">
        <v>39.53</v>
      </c>
      <c r="F181" s="14">
        <f>IF(OR(D181&gt;=E181,D181=0),0,1)</f>
        <v>0</v>
      </c>
      <c r="G181" s="12">
        <v>5.0599999999999996</v>
      </c>
      <c r="H181" s="12">
        <v>-9.26</v>
      </c>
      <c r="I181" s="14">
        <f>IF(AND(H181&lt;=1,H181&gt;0),1,0)</f>
        <v>0</v>
      </c>
      <c r="J181" s="12">
        <v>6039.64</v>
      </c>
      <c r="K181" s="12">
        <v>7003.96</v>
      </c>
      <c r="L181" s="12">
        <v>8.01</v>
      </c>
      <c r="M181" s="12">
        <v>9.86</v>
      </c>
      <c r="N181" s="14">
        <f>IF(AND(J181&gt;K181,L181&gt;=M181),1,0)</f>
        <v>0</v>
      </c>
      <c r="O181" s="15">
        <v>2225.9</v>
      </c>
      <c r="P181" s="15">
        <v>2474.8000000000002</v>
      </c>
      <c r="Q181" s="15">
        <v>1473.5</v>
      </c>
      <c r="R181" s="15">
        <v>820</v>
      </c>
      <c r="S181" s="15">
        <v>1696.6</v>
      </c>
      <c r="T181" s="15">
        <v>2258.1</v>
      </c>
      <c r="U181" s="15">
        <v>1777</v>
      </c>
      <c r="V181" s="15">
        <v>1281.5</v>
      </c>
      <c r="W181" s="14">
        <f>IF(AND(O181&gt;S181,P181&gt;T181,Q181&gt;U181,R181&gt;V181),1,0)</f>
        <v>0</v>
      </c>
      <c r="X181" s="12">
        <v>10673.43</v>
      </c>
      <c r="Y181" s="12">
        <v>10897.54</v>
      </c>
      <c r="Z181" s="12">
        <v>13.06</v>
      </c>
      <c r="AA181" s="12">
        <v>15.37</v>
      </c>
      <c r="AB181" s="14">
        <f>IF(AND(X181&gt;Y181,Z181&gt;=AA181,X181&gt;0),1,0)</f>
        <v>0</v>
      </c>
      <c r="AC181" s="12" t="str">
        <f>IF(X181&gt;J181,"Yes","No")</f>
        <v>Yes</v>
      </c>
      <c r="AD181" s="14">
        <f>IF(X181&gt;J181,1,0)</f>
        <v>1</v>
      </c>
      <c r="AE181" s="16">
        <v>23737.200000000001</v>
      </c>
      <c r="AF181" s="25">
        <v>32365</v>
      </c>
      <c r="AG181" s="17">
        <f>AE181/AF181</f>
        <v>0.73342190638034921</v>
      </c>
      <c r="AH181" s="16">
        <v>23158.400000000001</v>
      </c>
      <c r="AI181" s="25">
        <v>26906</v>
      </c>
      <c r="AJ181" s="17">
        <f>AH181/AI181</f>
        <v>0.86071508213781323</v>
      </c>
      <c r="AK181" s="18">
        <f>IF(AG181&gt;=AJ181,1,0)</f>
        <v>0</v>
      </c>
      <c r="AL181" s="19">
        <v>0.22</v>
      </c>
      <c r="AM181" s="19">
        <v>0.09</v>
      </c>
      <c r="AN181" s="18">
        <f>IF(AL181&lt;=AM181,1,0)</f>
        <v>0</v>
      </c>
      <c r="AO181" s="19">
        <v>0.65</v>
      </c>
      <c r="AP181" s="19">
        <v>0.74</v>
      </c>
      <c r="AQ181" s="18">
        <f>IF(AO181&gt;AP181,1,0)</f>
        <v>0</v>
      </c>
      <c r="AR181" s="19">
        <v>16.37</v>
      </c>
      <c r="AS181" s="19">
        <v>18.13</v>
      </c>
      <c r="AT181" s="14">
        <f>IF(AR181&gt;=AS181,1,0)</f>
        <v>0</v>
      </c>
      <c r="AU181" s="20">
        <f>SUM(I181,N181,AB181,AD181,AK181,AN181,AQ181,AT181,F181,W181)</f>
        <v>1</v>
      </c>
    </row>
    <row r="182" spans="1:47" customFormat="1" ht="15.6" x14ac:dyDescent="0.3">
      <c r="A182" s="11">
        <v>181</v>
      </c>
      <c r="B182" s="12" t="s">
        <v>228</v>
      </c>
      <c r="C182" s="13">
        <v>326243.65999999997</v>
      </c>
      <c r="D182" s="12">
        <v>87.87</v>
      </c>
      <c r="E182" s="12">
        <v>28.33</v>
      </c>
      <c r="F182" s="14">
        <f>IF(OR(D182&gt;=E182,D182=0),0,1)</f>
        <v>0</v>
      </c>
      <c r="G182" s="12">
        <v>28.07</v>
      </c>
      <c r="H182" s="12">
        <v>6</v>
      </c>
      <c r="I182" s="14">
        <f>IF(AND(H182&lt;=1,H182&gt;0),1,0)</f>
        <v>0</v>
      </c>
      <c r="J182" s="12">
        <v>3337</v>
      </c>
      <c r="K182" s="12">
        <v>3496</v>
      </c>
      <c r="L182" s="12">
        <v>5.52</v>
      </c>
      <c r="M182" s="12">
        <v>6.84</v>
      </c>
      <c r="N182" s="14">
        <f>IF(AND(J182&gt;K182,L182&gt;=M182),1,0)</f>
        <v>0</v>
      </c>
      <c r="O182" s="15">
        <v>871</v>
      </c>
      <c r="P182" s="15">
        <v>1047</v>
      </c>
      <c r="Q182" s="15">
        <v>704</v>
      </c>
      <c r="R182" s="15">
        <v>715</v>
      </c>
      <c r="S182" s="15">
        <v>771</v>
      </c>
      <c r="T182" s="15">
        <v>1053</v>
      </c>
      <c r="U182" s="15">
        <v>915</v>
      </c>
      <c r="V182" s="15">
        <v>753</v>
      </c>
      <c r="W182" s="14">
        <f>IF(AND(O182&gt;S182,P182&gt;T182,Q182&gt;U182,R182&gt;V182),1,0)</f>
        <v>0</v>
      </c>
      <c r="X182" s="12">
        <v>-541</v>
      </c>
      <c r="Y182" s="12">
        <v>1695</v>
      </c>
      <c r="Z182" s="12">
        <v>-0.85</v>
      </c>
      <c r="AA182" s="12">
        <v>3.32</v>
      </c>
      <c r="AB182" s="14">
        <f>IF(AND(X182&gt;Y182,Z182&gt;=AA182,X182&gt;0),1,0)</f>
        <v>0</v>
      </c>
      <c r="AC182" s="12" t="str">
        <f>IF(X182&gt;J182,"Yes","No")</f>
        <v>No</v>
      </c>
      <c r="AD182" s="14">
        <f>IF(X182&gt;J182,1,0)</f>
        <v>0</v>
      </c>
      <c r="AE182" s="25">
        <v>34434</v>
      </c>
      <c r="AF182" s="25">
        <v>25793</v>
      </c>
      <c r="AG182" s="17">
        <f>AE182/AF182</f>
        <v>1.3350133757220952</v>
      </c>
      <c r="AH182" s="25">
        <v>25608</v>
      </c>
      <c r="AI182" s="25">
        <v>16529</v>
      </c>
      <c r="AJ182" s="17">
        <f>AH182/AI182</f>
        <v>1.5492770282533728</v>
      </c>
      <c r="AK182" s="18">
        <f>IF(AG182&gt;=AJ182,1,0)</f>
        <v>0</v>
      </c>
      <c r="AL182" s="19">
        <v>0.05</v>
      </c>
      <c r="AM182" s="19">
        <v>0.35</v>
      </c>
      <c r="AN182" s="18">
        <f>IF(AL182&lt;=AM182,1,0)</f>
        <v>1</v>
      </c>
      <c r="AO182" s="19">
        <v>1.67</v>
      </c>
      <c r="AP182" s="19">
        <v>1.74</v>
      </c>
      <c r="AQ182" s="18">
        <f>IF(AO182&gt;AP182,1,0)</f>
        <v>0</v>
      </c>
      <c r="AR182" s="19">
        <v>9.34</v>
      </c>
      <c r="AS182" s="19">
        <v>10.25</v>
      </c>
      <c r="AT182" s="14">
        <f>IF(AR182&gt;=AS182,1,0)</f>
        <v>0</v>
      </c>
      <c r="AU182" s="20">
        <f>SUM(I182,N182,AB182,AD182,AK182,AN182,AQ182,AT182,F182,W182)</f>
        <v>1</v>
      </c>
    </row>
    <row r="183" spans="1:47" customFormat="1" ht="15.6" x14ac:dyDescent="0.3">
      <c r="A183" s="11">
        <v>182</v>
      </c>
      <c r="B183" s="12" t="s">
        <v>229</v>
      </c>
      <c r="C183" s="13">
        <v>248656.13</v>
      </c>
      <c r="D183" s="12">
        <v>83.05</v>
      </c>
      <c r="E183" s="12">
        <v>60.93</v>
      </c>
      <c r="F183" s="14">
        <f>IF(OR(D183&gt;=E183,D183=0),0,1)</f>
        <v>0</v>
      </c>
      <c r="G183" s="12">
        <v>54.48</v>
      </c>
      <c r="H183" s="12">
        <v>7.86</v>
      </c>
      <c r="I183" s="14">
        <f>IF(AND(H183&lt;=1,H183&gt;0),1,0)</f>
        <v>0</v>
      </c>
      <c r="J183" s="12">
        <v>3314.5</v>
      </c>
      <c r="K183" s="12">
        <v>3932.84</v>
      </c>
      <c r="L183" s="12">
        <v>15.33</v>
      </c>
      <c r="M183" s="12">
        <v>16.09</v>
      </c>
      <c r="N183" s="14">
        <f>IF(AND(J183&gt;K183,L183&gt;=M183),1,0)</f>
        <v>0</v>
      </c>
      <c r="O183" s="15">
        <v>646.6</v>
      </c>
      <c r="P183" s="15">
        <v>873.5</v>
      </c>
      <c r="Q183" s="15">
        <v>688</v>
      </c>
      <c r="R183" s="15">
        <v>899.5</v>
      </c>
      <c r="S183" s="15">
        <v>746.6</v>
      </c>
      <c r="T183" s="15">
        <v>1670.8</v>
      </c>
      <c r="U183" s="15">
        <v>655.6</v>
      </c>
      <c r="V183" s="15">
        <v>908.1</v>
      </c>
      <c r="W183" s="14">
        <f>IF(AND(O183&gt;S183,P183&gt;T183,Q183&gt;U183,R183&gt;V183),1,0)</f>
        <v>0</v>
      </c>
      <c r="X183" s="12">
        <v>2936.35</v>
      </c>
      <c r="Y183" s="12">
        <v>4174.79</v>
      </c>
      <c r="Z183" s="12">
        <v>13.97</v>
      </c>
      <c r="AA183" s="12">
        <v>17.11</v>
      </c>
      <c r="AB183" s="14">
        <f>IF(AND(X183&gt;Y183,Z183&gt;=AA183,X183&gt;0),1,0)</f>
        <v>0</v>
      </c>
      <c r="AC183" s="12" t="str">
        <f>IF(X183&gt;J183,"Yes","No")</f>
        <v>No</v>
      </c>
      <c r="AD183" s="14">
        <f>IF(X183&gt;J183,1,0)</f>
        <v>0</v>
      </c>
      <c r="AE183" s="16">
        <v>3734.2</v>
      </c>
      <c r="AF183" s="16">
        <v>4685.3999999999996</v>
      </c>
      <c r="AG183" s="17">
        <f>AE183/AF183</f>
        <v>0.79698638323302173</v>
      </c>
      <c r="AH183" s="16">
        <v>3494.7</v>
      </c>
      <c r="AI183" s="16">
        <v>3956.1</v>
      </c>
      <c r="AJ183" s="17">
        <f>AH183/AI183</f>
        <v>0.88336998559187074</v>
      </c>
      <c r="AK183" s="18">
        <f>IF(AG183&gt;=AJ183,1,0)</f>
        <v>0</v>
      </c>
      <c r="AL183" s="19">
        <v>0.01</v>
      </c>
      <c r="AM183" s="19">
        <v>0.01</v>
      </c>
      <c r="AN183" s="18">
        <f>IF(AL183&lt;=AM183,1,0)</f>
        <v>1</v>
      </c>
      <c r="AO183" s="19">
        <v>1.78</v>
      </c>
      <c r="AP183" s="19" t="s">
        <v>76</v>
      </c>
      <c r="AQ183" s="18">
        <f>IF(AO183&gt;AP183,1,0)</f>
        <v>0</v>
      </c>
      <c r="AR183" s="19">
        <v>23.45</v>
      </c>
      <c r="AS183" s="19">
        <v>23.71</v>
      </c>
      <c r="AT183" s="14">
        <f>IF(AR183&gt;=AS183,1,0)</f>
        <v>0</v>
      </c>
      <c r="AU183" s="20">
        <f>SUM(I183,N183,AB183,AD183,AK183,AN183,AQ183,AT183,F183,W183)</f>
        <v>1</v>
      </c>
    </row>
    <row r="184" spans="1:47" customFormat="1" ht="15.6" x14ac:dyDescent="0.3">
      <c r="A184" s="11">
        <v>183</v>
      </c>
      <c r="B184" s="22" t="s">
        <v>230</v>
      </c>
      <c r="C184" s="23">
        <v>102223.77</v>
      </c>
      <c r="D184" s="24">
        <v>54.07</v>
      </c>
      <c r="E184" s="24">
        <v>32.840000000000003</v>
      </c>
      <c r="F184" s="14">
        <f>IF(OR(D184&gt;=E184,D184=0),0,1)</f>
        <v>0</v>
      </c>
      <c r="G184" s="24">
        <v>7.13</v>
      </c>
      <c r="H184" s="24">
        <v>6.54</v>
      </c>
      <c r="I184" s="14">
        <f>IF(AND(H184&lt;=1,H184&gt;0),1,0)</f>
        <v>0</v>
      </c>
      <c r="J184" s="24">
        <v>2011.12</v>
      </c>
      <c r="K184" s="24">
        <v>1941.77</v>
      </c>
      <c r="L184" s="24">
        <v>14.39</v>
      </c>
      <c r="M184" s="24">
        <v>17.89</v>
      </c>
      <c r="N184" s="14">
        <f>IF(AND(J184&gt;K184,L184&gt;=M184),1,0)</f>
        <v>0</v>
      </c>
      <c r="O184" s="15">
        <v>420.8</v>
      </c>
      <c r="P184" s="15">
        <v>380.2</v>
      </c>
      <c r="Q184" s="15">
        <v>653.5</v>
      </c>
      <c r="R184" s="15">
        <v>536.5</v>
      </c>
      <c r="S184" s="15">
        <v>471.2</v>
      </c>
      <c r="T184" s="15">
        <v>453.8</v>
      </c>
      <c r="U184" s="15">
        <v>501</v>
      </c>
      <c r="V184" s="15">
        <v>494.2</v>
      </c>
      <c r="W184" s="14">
        <f>IF(AND(O184&gt;S184,P184&gt;T184,Q184&gt;U184,R184&gt;V184),1,0)</f>
        <v>0</v>
      </c>
      <c r="X184" s="24">
        <v>2413.38</v>
      </c>
      <c r="Y184" s="24">
        <v>2152.44</v>
      </c>
      <c r="Z184" s="24">
        <v>18.670000000000002</v>
      </c>
      <c r="AA184" s="24">
        <v>20.98</v>
      </c>
      <c r="AB184" s="14">
        <f>IF(AND(X184&gt;Y184,Z184&gt;=AA184,X184&gt;0),1,0)</f>
        <v>0</v>
      </c>
      <c r="AC184" s="12" t="str">
        <f>IF(X184&gt;J184,"Yes","No")</f>
        <v>Yes</v>
      </c>
      <c r="AD184" s="14">
        <f>IF(X184&gt;J184,1,0)</f>
        <v>1</v>
      </c>
      <c r="AE184" s="26">
        <v>6988.3</v>
      </c>
      <c r="AF184" s="26">
        <v>5663.6</v>
      </c>
      <c r="AG184" s="17">
        <f>AE184/AF184</f>
        <v>1.2338971678790875</v>
      </c>
      <c r="AH184" s="26">
        <v>6568.2</v>
      </c>
      <c r="AI184" s="26">
        <v>2119.6999999999998</v>
      </c>
      <c r="AJ184" s="17">
        <f>AH184/AI184</f>
        <v>3.0986460348162477</v>
      </c>
      <c r="AK184" s="18">
        <f>IF(AG184&gt;=AJ184,1,0)</f>
        <v>0</v>
      </c>
      <c r="AL184" s="28">
        <v>0.39</v>
      </c>
      <c r="AM184" s="28">
        <v>0</v>
      </c>
      <c r="AN184" s="18">
        <f>IF(AL184&lt;=AM184,1,0)</f>
        <v>0</v>
      </c>
      <c r="AO184" s="28">
        <v>0.61</v>
      </c>
      <c r="AP184" s="28">
        <v>0.95</v>
      </c>
      <c r="AQ184" s="18">
        <f>IF(AO184&gt;AP184,1,0)</f>
        <v>0</v>
      </c>
      <c r="AR184" s="28">
        <v>23.68</v>
      </c>
      <c r="AS184" s="28">
        <v>23.88</v>
      </c>
      <c r="AT184" s="14">
        <f>IF(AR184&gt;=AS184,1,0)</f>
        <v>0</v>
      </c>
      <c r="AU184" s="20">
        <f>SUM(I184,N184,AB184,AD184,AK184,AN184,AQ184,AT184,F184,W184)</f>
        <v>1</v>
      </c>
    </row>
    <row r="185" spans="1:47" customFormat="1" ht="15.6" x14ac:dyDescent="0.3">
      <c r="A185" s="11">
        <v>184</v>
      </c>
      <c r="B185" s="22" t="s">
        <v>231</v>
      </c>
      <c r="C185" s="23">
        <v>88208.45</v>
      </c>
      <c r="D185" s="24">
        <v>46.97</v>
      </c>
      <c r="E185" s="24">
        <v>22.82</v>
      </c>
      <c r="F185" s="14">
        <f>IF(OR(D185&gt;=E185,D185=0),0,1)</f>
        <v>0</v>
      </c>
      <c r="G185" s="24">
        <v>6.4</v>
      </c>
      <c r="H185" s="24">
        <v>8.06</v>
      </c>
      <c r="I185" s="14">
        <f>IF(AND(H185&lt;=1,H185&gt;0),1,0)</f>
        <v>0</v>
      </c>
      <c r="J185" s="24">
        <v>1916.41</v>
      </c>
      <c r="K185" s="24">
        <v>2407.88</v>
      </c>
      <c r="L185" s="24">
        <v>10.6</v>
      </c>
      <c r="M185" s="24">
        <v>14.18</v>
      </c>
      <c r="N185" s="14">
        <f>IF(AND(J185&gt;K185,L185&gt;=M185),1,0)</f>
        <v>0</v>
      </c>
      <c r="O185" s="15">
        <v>556</v>
      </c>
      <c r="P185" s="15">
        <v>534.20000000000005</v>
      </c>
      <c r="Q185" s="15">
        <v>383.2</v>
      </c>
      <c r="R185" s="15">
        <v>404.4</v>
      </c>
      <c r="S185" s="15">
        <v>594.5</v>
      </c>
      <c r="T185" s="15">
        <v>662.4</v>
      </c>
      <c r="U185" s="15">
        <v>549.1</v>
      </c>
      <c r="V185" s="15">
        <v>603</v>
      </c>
      <c r="W185" s="14">
        <f>IF(AND(O185&gt;S185,P185&gt;T185,Q185&gt;U185,R185&gt;V185),1,0)</f>
        <v>0</v>
      </c>
      <c r="X185" s="24">
        <v>-2140.46</v>
      </c>
      <c r="Y185" s="24">
        <v>-5653.38</v>
      </c>
      <c r="Z185" s="24">
        <v>-11.51</v>
      </c>
      <c r="AA185" s="24">
        <v>-33.28</v>
      </c>
      <c r="AB185" s="14">
        <f>IF(AND(X185&gt;Y185,Z185&gt;=AA185,X185&gt;0),1,0)</f>
        <v>0</v>
      </c>
      <c r="AC185" s="12" t="str">
        <f>IF(X185&gt;J185,"Yes","No")</f>
        <v>No</v>
      </c>
      <c r="AD185" s="14">
        <f>IF(X185&gt;J185,1,0)</f>
        <v>0</v>
      </c>
      <c r="AE185" s="26">
        <v>63421.8</v>
      </c>
      <c r="AF185" s="26">
        <v>49920.3</v>
      </c>
      <c r="AG185" s="17">
        <f>AE185/AF185</f>
        <v>1.2704611150173377</v>
      </c>
      <c r="AH185" s="26">
        <v>55900.800000000003</v>
      </c>
      <c r="AI185" s="27">
        <v>36467</v>
      </c>
      <c r="AJ185" s="17">
        <f>AH185/AI185</f>
        <v>1.532914689993693</v>
      </c>
      <c r="AK185" s="18">
        <f>IF(AG185&gt;=AJ185,1,0)</f>
        <v>0</v>
      </c>
      <c r="AL185" s="28">
        <v>0</v>
      </c>
      <c r="AM185" s="28">
        <v>0.65</v>
      </c>
      <c r="AN185" s="18">
        <f>IF(AL185&lt;=AM185,1,0)</f>
        <v>1</v>
      </c>
      <c r="AO185" s="28">
        <v>0.28999999999999998</v>
      </c>
      <c r="AP185" s="28">
        <v>0.33</v>
      </c>
      <c r="AQ185" s="18">
        <f>IF(AO185&gt;AP185,1,0)</f>
        <v>0</v>
      </c>
      <c r="AR185" s="28">
        <v>28.66</v>
      </c>
      <c r="AS185" s="28">
        <v>31.51</v>
      </c>
      <c r="AT185" s="14">
        <f>IF(AR185&gt;=AS185,1,0)</f>
        <v>0</v>
      </c>
      <c r="AU185" s="20">
        <f>SUM(I185,N185,AB185,AD185,AK185,AN185,AQ185,AT185,F185,W185)</f>
        <v>1</v>
      </c>
    </row>
    <row r="186" spans="1:47" customFormat="1" ht="15.6" x14ac:dyDescent="0.3">
      <c r="A186" s="11">
        <v>185</v>
      </c>
      <c r="B186" s="12" t="s">
        <v>232</v>
      </c>
      <c r="C186" s="13">
        <v>193009.08</v>
      </c>
      <c r="D186" s="12">
        <v>46.17</v>
      </c>
      <c r="E186" s="12">
        <v>39.53</v>
      </c>
      <c r="F186" s="14">
        <f>IF(OR(D186&gt;=E186,D186=0),0,1)</f>
        <v>0</v>
      </c>
      <c r="G186" s="12">
        <v>1.98</v>
      </c>
      <c r="H186" s="12">
        <v>-2.2000000000000002</v>
      </c>
      <c r="I186" s="14">
        <f>IF(AND(H186&lt;=1,H186&gt;0),1,0)</f>
        <v>0</v>
      </c>
      <c r="J186" s="12">
        <v>7756.33</v>
      </c>
      <c r="K186" s="12">
        <v>9925.65</v>
      </c>
      <c r="L186" s="12">
        <v>5.19</v>
      </c>
      <c r="M186" s="12">
        <v>7.78</v>
      </c>
      <c r="N186" s="14">
        <f>IF(AND(J186&gt;K186,L186&gt;=M186),1,0)</f>
        <v>0</v>
      </c>
      <c r="O186" s="15">
        <v>1369.2</v>
      </c>
      <c r="P186" s="15">
        <v>1614.3</v>
      </c>
      <c r="Q186" s="15">
        <v>1160.7</v>
      </c>
      <c r="R186" s="15">
        <v>1375.5</v>
      </c>
      <c r="S186" s="15">
        <v>1489.7</v>
      </c>
      <c r="T186" s="15">
        <v>1675.2</v>
      </c>
      <c r="U186" s="15">
        <v>1425.2</v>
      </c>
      <c r="V186" s="15">
        <v>1630.5</v>
      </c>
      <c r="W186" s="14">
        <f>IF(AND(O186&gt;S186,P186&gt;T186,Q186&gt;U186,R186&gt;V186),1,0)</f>
        <v>0</v>
      </c>
      <c r="X186" s="12">
        <v>-17169.650000000001</v>
      </c>
      <c r="Y186" s="12">
        <v>-10719.33</v>
      </c>
      <c r="Z186" s="12">
        <v>-11.2</v>
      </c>
      <c r="AA186" s="12">
        <v>-8.18</v>
      </c>
      <c r="AB186" s="14">
        <f>IF(AND(X186&gt;Y186,Z186&gt;=AA186,X186&gt;0),1,0)</f>
        <v>0</v>
      </c>
      <c r="AC186" s="12" t="str">
        <f>IF(X186&gt;J186,"Yes","No")</f>
        <v>No</v>
      </c>
      <c r="AD186" s="14">
        <f>IF(X186&gt;J186,1,0)</f>
        <v>0</v>
      </c>
      <c r="AE186" s="16">
        <v>93610.2</v>
      </c>
      <c r="AF186" s="16">
        <v>104026.2</v>
      </c>
      <c r="AG186" s="17">
        <f>AE186/AF186</f>
        <v>0.89987137855655597</v>
      </c>
      <c r="AH186" s="16">
        <v>86387.7</v>
      </c>
      <c r="AI186" s="16">
        <v>92432.8</v>
      </c>
      <c r="AJ186" s="17">
        <f>AH186/AI186</f>
        <v>0.93460005539159252</v>
      </c>
      <c r="AK186" s="18">
        <f>IF(AG186&gt;=AJ186,1,0)</f>
        <v>0</v>
      </c>
      <c r="AL186" s="19">
        <v>1.27</v>
      </c>
      <c r="AM186" s="19">
        <v>0.97</v>
      </c>
      <c r="AN186" s="18">
        <f>IF(AL186&lt;=AM186,1,0)</f>
        <v>0</v>
      </c>
      <c r="AO186" s="19">
        <v>0.33</v>
      </c>
      <c r="AP186" s="19">
        <v>0.35</v>
      </c>
      <c r="AQ186" s="18">
        <f>IF(AO186&gt;AP186,1,0)</f>
        <v>0</v>
      </c>
      <c r="AR186" s="19">
        <v>18.850000000000001</v>
      </c>
      <c r="AS186" s="19">
        <v>20.56</v>
      </c>
      <c r="AT186" s="14">
        <f>IF(AR186&gt;=AS186,1,0)</f>
        <v>0</v>
      </c>
      <c r="AU186" s="20">
        <f>SUM(I186,N186,AB186,AD186,AK186,AN186,AQ186,AT186,F186,W186)</f>
        <v>0</v>
      </c>
    </row>
  </sheetData>
  <sortState xmlns:xlrd2="http://schemas.microsoft.com/office/spreadsheetml/2017/richdata2" ref="A2:AU186">
    <sortCondition descending="1" ref="AU2:AU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2025-11-03T03:08:25Z</dcterms:created>
  <dcterms:modified xsi:type="dcterms:W3CDTF">2025-11-03T03:10:12Z</dcterms:modified>
</cp:coreProperties>
</file>